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vladimir/Desktop/"/>
    </mc:Choice>
  </mc:AlternateContent>
  <xr:revisionPtr revIDLastSave="0" documentId="8_{D3CBA3B0-07FF-EC4B-98FD-26FE9DAC6CE8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Таблица Алексей Геннадьевич" sheetId="3" r:id="rId1"/>
    <sheet name="Таблица Денис Николаевич" sheetId="2" r:id="rId2"/>
    <sheet name="Таблица Екатерина Александровна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33" i="3"/>
  <c r="E32" i="3"/>
  <c r="E31" i="3"/>
  <c r="E30" i="3"/>
  <c r="E29" i="3"/>
  <c r="J29" i="3" s="1"/>
  <c r="E28" i="3"/>
  <c r="E26" i="3"/>
  <c r="E27" i="3"/>
  <c r="E25" i="3"/>
  <c r="E24" i="3"/>
  <c r="E23" i="3"/>
  <c r="E22" i="3"/>
  <c r="E21" i="3"/>
  <c r="E20" i="3"/>
  <c r="E19" i="3"/>
  <c r="E18" i="3"/>
  <c r="E15" i="3"/>
  <c r="E35" i="3" s="1"/>
  <c r="E12" i="3"/>
  <c r="E14" i="3"/>
  <c r="D14" i="3"/>
  <c r="E13" i="3"/>
  <c r="E11" i="3"/>
  <c r="E10" i="3"/>
  <c r="J13" i="3"/>
  <c r="J22" i="3"/>
  <c r="J23" i="3"/>
  <c r="J30" i="3"/>
  <c r="Q37" i="3"/>
  <c r="I13" i="3"/>
  <c r="I21" i="3"/>
  <c r="J21" i="3" s="1"/>
  <c r="I23" i="3"/>
  <c r="I25" i="3"/>
  <c r="J25" i="3" s="1"/>
  <c r="I29" i="3"/>
  <c r="D35" i="3"/>
  <c r="C35" i="3"/>
  <c r="H11" i="3"/>
  <c r="H12" i="3"/>
  <c r="I12" i="3" s="1"/>
  <c r="J12" i="3" s="1"/>
  <c r="H13" i="3"/>
  <c r="H14" i="3"/>
  <c r="H15" i="3"/>
  <c r="I15" i="3" s="1"/>
  <c r="J15" i="3" s="1"/>
  <c r="H16" i="3"/>
  <c r="I16" i="3" s="1"/>
  <c r="J16" i="3" s="1"/>
  <c r="H17" i="3"/>
  <c r="I17" i="3" s="1"/>
  <c r="J17" i="3" s="1"/>
  <c r="H18" i="3"/>
  <c r="I18" i="3" s="1"/>
  <c r="J18" i="3" s="1"/>
  <c r="H19" i="3"/>
  <c r="I19" i="3" s="1"/>
  <c r="J19" i="3" s="1"/>
  <c r="H20" i="3"/>
  <c r="I20" i="3" s="1"/>
  <c r="J20" i="3" s="1"/>
  <c r="H21" i="3"/>
  <c r="H22" i="3"/>
  <c r="I22" i="3" s="1"/>
  <c r="H23" i="3"/>
  <c r="H24" i="3"/>
  <c r="I24" i="3" s="1"/>
  <c r="J24" i="3" s="1"/>
  <c r="H25" i="3"/>
  <c r="H26" i="3"/>
  <c r="I26" i="3" s="1"/>
  <c r="J26" i="3" s="1"/>
  <c r="H27" i="3"/>
  <c r="I27" i="3" s="1"/>
  <c r="J27" i="3" s="1"/>
  <c r="H28" i="3"/>
  <c r="I28" i="3" s="1"/>
  <c r="J28" i="3" s="1"/>
  <c r="H29" i="3"/>
  <c r="H30" i="3"/>
  <c r="I30" i="3" s="1"/>
  <c r="H31" i="3"/>
  <c r="I31" i="3" s="1"/>
  <c r="J31" i="3" s="1"/>
  <c r="H32" i="3"/>
  <c r="I32" i="3" s="1"/>
  <c r="J32" i="3" s="1"/>
  <c r="H33" i="3"/>
  <c r="I33" i="3" s="1"/>
  <c r="J33" i="3" s="1"/>
  <c r="H34" i="3"/>
  <c r="I34" i="3" s="1"/>
  <c r="J34" i="3" s="1"/>
  <c r="H10" i="3"/>
  <c r="I10" i="3" s="1"/>
  <c r="J10" i="3" s="1"/>
  <c r="R21" i="3" l="1"/>
  <c r="R12" i="3"/>
  <c r="R27" i="3"/>
  <c r="R34" i="3"/>
  <c r="R33" i="3"/>
  <c r="R20" i="3"/>
  <c r="O29" i="3"/>
  <c r="R29" i="3"/>
  <c r="R19" i="3"/>
  <c r="R26" i="3"/>
  <c r="R28" i="3"/>
  <c r="R10" i="3"/>
  <c r="R18" i="3"/>
  <c r="R17" i="3"/>
  <c r="O32" i="3"/>
  <c r="R32" i="3"/>
  <c r="O24" i="3"/>
  <c r="R24" i="3"/>
  <c r="R16" i="3"/>
  <c r="R31" i="3"/>
  <c r="O15" i="3"/>
  <c r="R15" i="3"/>
  <c r="R25" i="3"/>
  <c r="R23" i="3"/>
  <c r="O30" i="3"/>
  <c r="O13" i="3"/>
  <c r="I14" i="3"/>
  <c r="J14" i="3" s="1"/>
  <c r="I11" i="3"/>
  <c r="J11" i="3" s="1"/>
  <c r="R30" i="3"/>
  <c r="R22" i="3"/>
  <c r="R13" i="3"/>
  <c r="M10" i="3"/>
  <c r="N10" i="3" s="1"/>
  <c r="M11" i="3"/>
  <c r="Q11" i="3" s="1"/>
  <c r="M12" i="3"/>
  <c r="Q12" i="3" s="1"/>
  <c r="M13" i="3"/>
  <c r="Q13" i="3" s="1"/>
  <c r="M14" i="3"/>
  <c r="Q14" i="3" s="1"/>
  <c r="M15" i="3"/>
  <c r="Q15" i="3" s="1"/>
  <c r="M16" i="3"/>
  <c r="Q16" i="3" s="1"/>
  <c r="M17" i="3"/>
  <c r="Q17" i="3" s="1"/>
  <c r="M18" i="3"/>
  <c r="Q18" i="3" s="1"/>
  <c r="M19" i="3"/>
  <c r="Q19" i="3" s="1"/>
  <c r="M20" i="3"/>
  <c r="Q20" i="3" s="1"/>
  <c r="M21" i="3"/>
  <c r="Q21" i="3" s="1"/>
  <c r="M22" i="3"/>
  <c r="Q22" i="3" s="1"/>
  <c r="M23" i="3"/>
  <c r="Q23" i="3" s="1"/>
  <c r="M24" i="3"/>
  <c r="Q24" i="3" s="1"/>
  <c r="M25" i="3"/>
  <c r="Q25" i="3" s="1"/>
  <c r="M26" i="3"/>
  <c r="Q26" i="3" s="1"/>
  <c r="M27" i="3"/>
  <c r="Q27" i="3" s="1"/>
  <c r="M28" i="3"/>
  <c r="Q28" i="3" s="1"/>
  <c r="M29" i="3"/>
  <c r="Q29" i="3" s="1"/>
  <c r="M30" i="3"/>
  <c r="Q30" i="3" s="1"/>
  <c r="M31" i="3"/>
  <c r="Q31" i="3" s="1"/>
  <c r="M32" i="3"/>
  <c r="Q32" i="3" s="1"/>
  <c r="M33" i="3"/>
  <c r="Q33" i="3" s="1"/>
  <c r="M34" i="3"/>
  <c r="Q34" i="3" s="1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10" i="3"/>
  <c r="D40" i="3"/>
  <c r="P35" i="3"/>
  <c r="I11" i="1"/>
  <c r="J11" i="1" s="1"/>
  <c r="I12" i="1"/>
  <c r="J12" i="1"/>
  <c r="I13" i="1"/>
  <c r="J13" i="1"/>
  <c r="I14" i="1"/>
  <c r="J14" i="1" s="1"/>
  <c r="I15" i="1"/>
  <c r="J15" i="1" s="1"/>
  <c r="I16" i="1"/>
  <c r="J16" i="1"/>
  <c r="I17" i="1"/>
  <c r="I18" i="1"/>
  <c r="J18" i="1" s="1"/>
  <c r="I19" i="1"/>
  <c r="J19" i="1" s="1"/>
  <c r="I20" i="1"/>
  <c r="J20" i="1" s="1"/>
  <c r="I21" i="1"/>
  <c r="I22" i="1"/>
  <c r="I23" i="1"/>
  <c r="I24" i="1"/>
  <c r="J24" i="1"/>
  <c r="I25" i="1"/>
  <c r="J25" i="1" s="1"/>
  <c r="I26" i="1"/>
  <c r="J26" i="1" s="1"/>
  <c r="I27" i="1"/>
  <c r="J27" i="1" s="1"/>
  <c r="I28" i="1"/>
  <c r="J28" i="1" s="1"/>
  <c r="I29" i="1"/>
  <c r="J29" i="1"/>
  <c r="I30" i="1"/>
  <c r="J30" i="1"/>
  <c r="I31" i="1"/>
  <c r="J31" i="1" s="1"/>
  <c r="I32" i="1"/>
  <c r="J32" i="1" s="1"/>
  <c r="I33" i="1"/>
  <c r="I34" i="1"/>
  <c r="I10" i="1"/>
  <c r="J10" i="1"/>
  <c r="J33" i="2"/>
  <c r="J34" i="2"/>
  <c r="M17" i="2"/>
  <c r="M21" i="2"/>
  <c r="M23" i="2"/>
  <c r="M28" i="2"/>
  <c r="M16" i="2"/>
  <c r="M35" i="2" s="1"/>
  <c r="C43" i="2" s="1"/>
  <c r="L35" i="2"/>
  <c r="C4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10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35" i="2" s="1"/>
  <c r="C41" i="2" s="1"/>
  <c r="C42" i="2" s="1"/>
  <c r="C44" i="2" s="1"/>
  <c r="J11" i="2"/>
  <c r="J10" i="2"/>
  <c r="P36" i="1"/>
  <c r="N36" i="1"/>
  <c r="F37" i="1"/>
  <c r="L36" i="1" s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10" i="1"/>
  <c r="P35" i="1" s="1"/>
  <c r="N11" i="1"/>
  <c r="N35" i="1" s="1"/>
  <c r="N37" i="1" s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10" i="1"/>
  <c r="L10" i="1"/>
  <c r="L35" i="1" s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D37" i="1"/>
  <c r="J22" i="1"/>
  <c r="J23" i="1"/>
  <c r="J33" i="1"/>
  <c r="J34" i="1"/>
  <c r="J17" i="1"/>
  <c r="J21" i="1"/>
  <c r="J35" i="1" l="1"/>
  <c r="J37" i="1" s="1"/>
  <c r="P37" i="1"/>
  <c r="R11" i="3"/>
  <c r="O11" i="3"/>
  <c r="O19" i="3"/>
  <c r="O34" i="3"/>
  <c r="O14" i="3"/>
  <c r="R14" i="3"/>
  <c r="O25" i="3"/>
  <c r="O10" i="3"/>
  <c r="N11" i="3"/>
  <c r="O27" i="3"/>
  <c r="O28" i="3"/>
  <c r="O20" i="3"/>
  <c r="O31" i="3"/>
  <c r="O17" i="3"/>
  <c r="O12" i="3"/>
  <c r="L37" i="1"/>
  <c r="O23" i="3"/>
  <c r="O26" i="3"/>
  <c r="O33" i="3"/>
  <c r="O22" i="3"/>
  <c r="O16" i="3"/>
  <c r="O18" i="3"/>
  <c r="O21" i="3"/>
  <c r="N32" i="3"/>
  <c r="N28" i="3"/>
  <c r="N24" i="3"/>
  <c r="N20" i="3"/>
  <c r="N16" i="3"/>
  <c r="N12" i="3"/>
  <c r="N34" i="3"/>
  <c r="N30" i="3"/>
  <c r="N26" i="3"/>
  <c r="N22" i="3"/>
  <c r="N18" i="3"/>
  <c r="N14" i="3"/>
  <c r="L35" i="3"/>
  <c r="Q10" i="3"/>
  <c r="Q35" i="3" s="1"/>
  <c r="Q38" i="3" s="1"/>
  <c r="N33" i="3"/>
  <c r="N31" i="3"/>
  <c r="N29" i="3"/>
  <c r="N27" i="3"/>
  <c r="N25" i="3"/>
  <c r="N23" i="3"/>
  <c r="N21" i="3"/>
  <c r="N19" i="3"/>
  <c r="N17" i="3"/>
  <c r="N15" i="3"/>
  <c r="N13" i="3"/>
  <c r="R35" i="3" l="1"/>
  <c r="R37" i="3" s="1"/>
  <c r="R38" i="3" s="1"/>
</calcChain>
</file>

<file path=xl/sharedStrings.xml><?xml version="1.0" encoding="utf-8"?>
<sst xmlns="http://schemas.openxmlformats.org/spreadsheetml/2006/main" count="222" uniqueCount="105">
  <si>
    <t>Параметры:</t>
  </si>
  <si>
    <t>Период отчета: 01.12.2025 - 31.12.2025</t>
  </si>
  <si>
    <t>Отбор:</t>
  </si>
  <si>
    <t>Организация Равно "ООО "ТД "Церера-Мебель"" И
Номенклатура В группе "Продукция" И
Партнер Равно "Интернет Решения ООО " И
Договор В списке "Выкуп у селлера; ИР-16269/21OZON (версия 2..."</t>
  </si>
  <si>
    <t>Организация</t>
  </si>
  <si>
    <t>Количество</t>
  </si>
  <si>
    <t>Сумма выручки без НДС</t>
  </si>
  <si>
    <t>Партнер</t>
  </si>
  <si>
    <t>Номенклатура</t>
  </si>
  <si>
    <t>ООО "ТД "Церера-Мебель"</t>
  </si>
  <si>
    <t xml:space="preserve">Интернет Решения ООО </t>
  </si>
  <si>
    <t>Аптечка медицинская</t>
  </si>
  <si>
    <t>Ключница К-148</t>
  </si>
  <si>
    <t>Ключница К-20</t>
  </si>
  <si>
    <t>Ключница К-40</t>
  </si>
  <si>
    <t>Ключница К-60</t>
  </si>
  <si>
    <t>Почтовый ящик ЯП-04 с замками</t>
  </si>
  <si>
    <t>Почтовый ящик ЯП-05 с замками</t>
  </si>
  <si>
    <t>Почтовый ящик ЯП-06 с замками</t>
  </si>
  <si>
    <t>Почтовый ящик ЯП-08 с замками</t>
  </si>
  <si>
    <t>Сейф мебельный СМ-20</t>
  </si>
  <si>
    <t>Сейф мебельный СМ-20 Э</t>
  </si>
  <si>
    <t>Сейф мебельный СМ-23</t>
  </si>
  <si>
    <t>Сейф мебельный СМ-23 Э</t>
  </si>
  <si>
    <t>Сейф мебельный СМ-25 Э</t>
  </si>
  <si>
    <t>Сейф мебельный СМ-30</t>
  </si>
  <si>
    <t>Сейф мебельный СМ-30 Э</t>
  </si>
  <si>
    <t>Сейф мебельный СМ-50</t>
  </si>
  <si>
    <t>Сейф мебельный СМ-50 Э</t>
  </si>
  <si>
    <t>Стеллаж металлический СТ-СПЭ 2000*1000*400, 4 полки (150)</t>
  </si>
  <si>
    <t>Стеллаж металлический СТ-СПЭ 2000*1000*400, 6 полок (150)</t>
  </si>
  <si>
    <t>Стеллаж металлический СТ-СПЭ 2000*1000*500, 4 полки (150)</t>
  </si>
  <si>
    <t>Шкаф бухгалтерский ШБС-01 мини</t>
  </si>
  <si>
    <t>Шкаф бухгалтерский ШБС-01 мини Т</t>
  </si>
  <si>
    <t>Шкаф ШБС-01-17(1700х500х400)</t>
  </si>
  <si>
    <t>Шкаф ШБС-02-17(1700х500х400)</t>
  </si>
  <si>
    <t>Итого</t>
  </si>
  <si>
    <t>00-00007010</t>
  </si>
  <si>
    <t>Дкабрь 2025 г</t>
  </si>
  <si>
    <t>00-00005834</t>
  </si>
  <si>
    <t>00-00005830</t>
  </si>
  <si>
    <t>00-00005832</t>
  </si>
  <si>
    <t>00-00005833</t>
  </si>
  <si>
    <t>00-00005831</t>
  </si>
  <si>
    <t>00-00005835</t>
  </si>
  <si>
    <t>00-00005836</t>
  </si>
  <si>
    <t>00-00005837</t>
  </si>
  <si>
    <t>00-00009549</t>
  </si>
  <si>
    <t>00-00009550</t>
  </si>
  <si>
    <t>00-00009551</t>
  </si>
  <si>
    <t>00-00009552</t>
  </si>
  <si>
    <t>00-00009554</t>
  </si>
  <si>
    <t>00-00009555</t>
  </si>
  <si>
    <t>00-00009556</t>
  </si>
  <si>
    <t>00-00009942</t>
  </si>
  <si>
    <t>00-00009557</t>
  </si>
  <si>
    <t>00-00008186</t>
  </si>
  <si>
    <t>00-00008189</t>
  </si>
  <si>
    <t>00-00008065</t>
  </si>
  <si>
    <t>00-00007306</t>
  </si>
  <si>
    <t>00-00007307</t>
  </si>
  <si>
    <t>УТ000013391</t>
  </si>
  <si>
    <t>УТ000013392</t>
  </si>
  <si>
    <t>Цена продажи СНДС</t>
  </si>
  <si>
    <t>Стоимость по сырьевой себестоимости</t>
  </si>
  <si>
    <t>ЦЕНА РозницаЧ (с НДС)</t>
  </si>
  <si>
    <t>ЦЕНА РозницаЧ (с НДС) - 37%</t>
  </si>
  <si>
    <t>Цена розница Ч на декабрь 2025г</t>
  </si>
  <si>
    <t>Стоимость по себестоимости</t>
  </si>
  <si>
    <t>Фактическая стоимость с 7% рентабельностью  ( по данным отдела продаж)</t>
  </si>
  <si>
    <t>Стоимость по фактической себестоимости отдела продаж</t>
  </si>
  <si>
    <t>Сумма выручки с НДС</t>
  </si>
  <si>
    <t>Плановая выручка с НДС по цене { РозницаЧ (с НДС) - 37%}</t>
  </si>
  <si>
    <t>ЦЕНА Сырьевая себестоимость (сырье и упаковка)</t>
  </si>
  <si>
    <t xml:space="preserve">ЦЕНА Себестоимость </t>
  </si>
  <si>
    <t>Доход (без учета себестоимости):</t>
  </si>
  <si>
    <t>Доход - себестоимость:</t>
  </si>
  <si>
    <t>услуги поставщика (услуга FBS, услуги селлеров и тп))</t>
  </si>
  <si>
    <t>Выручка</t>
  </si>
  <si>
    <t>Количество возвращенного товара</t>
  </si>
  <si>
    <t xml:space="preserve">Остаток средств после отгрузки услуг </t>
  </si>
  <si>
    <t>Услуги поставщика (услуга FBS, услуги селлеров и тп)</t>
  </si>
  <si>
    <t>Себестоимсть реализованной продукции</t>
  </si>
  <si>
    <t xml:space="preserve">Финансовый результат </t>
  </si>
  <si>
    <t>Стоимость возвращенного товара по себестоимости</t>
  </si>
  <si>
    <t>С НДС</t>
  </si>
  <si>
    <t>Без НДС</t>
  </si>
  <si>
    <t>ЦЕНА Себестоимость без НДС</t>
  </si>
  <si>
    <t>СПРАВОЧНО</t>
  </si>
  <si>
    <t>Стоимость возращенного товара по себестоимости</t>
  </si>
  <si>
    <t>Общий Результат:</t>
  </si>
  <si>
    <t>Стоимость по ценен ОПТ</t>
  </si>
  <si>
    <t>СПРАВОЧНО: Количество возвр. товара</t>
  </si>
  <si>
    <t>ЦЕНА ОПТ из калькуляции 7%</t>
  </si>
  <si>
    <t>Сумма по себестоимости</t>
  </si>
  <si>
    <t>Цена продукции  С НДС перечисленная</t>
  </si>
  <si>
    <t>Себестоимость продукции</t>
  </si>
  <si>
    <t>Цена отгрузки в декабре</t>
  </si>
  <si>
    <t xml:space="preserve">Цена отгрузки в январе </t>
  </si>
  <si>
    <t>Сумма оплаты с НДС</t>
  </si>
  <si>
    <t>Цена возврата в январе</t>
  </si>
  <si>
    <t>Цена отгрузки в феврале</t>
  </si>
  <si>
    <t>Итоговая рентабельность без вычета услуги декабрь</t>
  </si>
  <si>
    <t>Цена возврата в феврале</t>
  </si>
  <si>
    <t>Итоговая рентабельность без вычета услуги Февраль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</si>
</sst>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8"/>
      <name val="Arial"/>
      <family val="2"/>
    </font>
    <font>
      <sz val="8"/>
      <name val="Arial"/>
      <family val="2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/>
      <bottom/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7">
    <xf numFmtId="0" fontId="0" fillId="0" borderId="0" xfId="0"/>
    <xf numFmtId="0" fontId="2" fillId="0" borderId="0" xfId="0" applyFont="1" applyAlignment="1">
      <alignment vertical="top"/>
    </xf>
    <xf numFmtId="1" fontId="3" fillId="2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1" fontId="3" fillId="3" borderId="1" xfId="0" applyNumberFormat="1" applyFont="1" applyFill="1" applyBorder="1" applyAlignment="1">
      <alignment horizontal="right" vertical="top"/>
    </xf>
    <xf numFmtId="4" fontId="3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0" xfId="0" applyNumberFormat="1"/>
    <xf numFmtId="4" fontId="3" fillId="2" borderId="2" xfId="0" applyNumberFormat="1" applyFont="1" applyFill="1" applyBorder="1" applyAlignment="1">
      <alignment horizontal="right" vertical="top"/>
    </xf>
    <xf numFmtId="4" fontId="3" fillId="3" borderId="2" xfId="0" applyNumberFormat="1" applyFont="1" applyFill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2" fillId="4" borderId="2" xfId="0" applyNumberFormat="1" applyFont="1" applyFill="1" applyBorder="1" applyAlignment="1">
      <alignment horizontal="right" vertical="top"/>
    </xf>
    <xf numFmtId="4" fontId="0" fillId="0" borderId="3" xfId="0" applyNumberFormat="1" applyBorder="1"/>
    <xf numFmtId="4" fontId="1" fillId="0" borderId="3" xfId="1" applyNumberFormat="1" applyBorder="1"/>
    <xf numFmtId="4" fontId="0" fillId="0" borderId="0" xfId="0" applyNumberFormat="1" applyAlignment="1">
      <alignment horizontal="right"/>
    </xf>
    <xf numFmtId="4" fontId="0" fillId="5" borderId="3" xfId="0" applyNumberFormat="1" applyFill="1" applyBorder="1"/>
    <xf numFmtId="0" fontId="0" fillId="0" borderId="1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4" fontId="3" fillId="3" borderId="5" xfId="0" applyNumberFormat="1" applyFont="1" applyFill="1" applyBorder="1" applyAlignment="1">
      <alignment horizontal="right" vertical="top"/>
    </xf>
    <xf numFmtId="4" fontId="3" fillId="3" borderId="6" xfId="0" applyNumberFormat="1" applyFont="1" applyFill="1" applyBorder="1" applyAlignment="1">
      <alignment horizontal="right" vertical="top"/>
    </xf>
    <xf numFmtId="4" fontId="2" fillId="4" borderId="7" xfId="0" applyNumberFormat="1" applyFont="1" applyFill="1" applyBorder="1" applyAlignment="1">
      <alignment horizontal="right" vertical="top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 wrapText="1"/>
    </xf>
    <xf numFmtId="4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4" fontId="5" fillId="0" borderId="0" xfId="0" applyNumberFormat="1" applyFont="1"/>
    <xf numFmtId="0" fontId="5" fillId="0" borderId="0" xfId="0" applyFont="1"/>
    <xf numFmtId="4" fontId="4" fillId="4" borderId="7" xfId="0" applyNumberFormat="1" applyFont="1" applyFill="1" applyBorder="1" applyAlignment="1">
      <alignment horizontal="right" vertical="top"/>
    </xf>
    <xf numFmtId="4" fontId="4" fillId="6" borderId="7" xfId="0" applyNumberFormat="1" applyFont="1" applyFill="1" applyBorder="1" applyAlignment="1">
      <alignment horizontal="right" vertical="top"/>
    </xf>
    <xf numFmtId="4" fontId="5" fillId="7" borderId="0" xfId="0" applyNumberFormat="1" applyFont="1" applyFill="1"/>
    <xf numFmtId="0" fontId="0" fillId="0" borderId="3" xfId="0" applyBorder="1"/>
    <xf numFmtId="0" fontId="0" fillId="0" borderId="3" xfId="0" applyBorder="1" applyAlignment="1">
      <alignment horizontal="center" vertical="top" wrapText="1"/>
    </xf>
    <xf numFmtId="4" fontId="2" fillId="4" borderId="3" xfId="0" applyNumberFormat="1" applyFont="1" applyFill="1" applyBorder="1" applyAlignment="1">
      <alignment horizontal="right" vertical="top"/>
    </xf>
    <xf numFmtId="4" fontId="0" fillId="0" borderId="3" xfId="0" applyNumberFormat="1" applyBorder="1" applyAlignment="1">
      <alignment horizontal="left" wrapText="1"/>
    </xf>
    <xf numFmtId="0" fontId="0" fillId="0" borderId="3" xfId="0" applyBorder="1" applyAlignment="1">
      <alignment horizontal="center"/>
    </xf>
    <xf numFmtId="1" fontId="3" fillId="3" borderId="5" xfId="0" applyNumberFormat="1" applyFont="1" applyFill="1" applyBorder="1" applyAlignment="1">
      <alignment horizontal="right" vertical="top"/>
    </xf>
    <xf numFmtId="0" fontId="0" fillId="0" borderId="5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" fontId="0" fillId="0" borderId="5" xfId="0" applyNumberFormat="1" applyBorder="1" applyAlignment="1">
      <alignment horizontal="right" vertical="top"/>
    </xf>
    <xf numFmtId="4" fontId="0" fillId="0" borderId="5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4" fontId="0" fillId="0" borderId="9" xfId="0" applyNumberFormat="1" applyBorder="1"/>
    <xf numFmtId="1" fontId="2" fillId="4" borderId="3" xfId="0" applyNumberFormat="1" applyFont="1" applyFill="1" applyBorder="1" applyAlignment="1">
      <alignment horizontal="right" vertical="top"/>
    </xf>
    <xf numFmtId="4" fontId="4" fillId="4" borderId="3" xfId="0" applyNumberFormat="1" applyFont="1" applyFill="1" applyBorder="1" applyAlignment="1">
      <alignment horizontal="right" vertical="top"/>
    </xf>
    <xf numFmtId="1" fontId="0" fillId="0" borderId="3" xfId="0" applyNumberFormat="1" applyBorder="1"/>
    <xf numFmtId="0" fontId="0" fillId="0" borderId="10" xfId="0" applyBorder="1"/>
    <xf numFmtId="0" fontId="4" fillId="4" borderId="2" xfId="0" applyFont="1" applyFill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6" fillId="3" borderId="2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2" fontId="5" fillId="8" borderId="0" xfId="0" applyNumberFormat="1" applyFont="1" applyFill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 wrapText="1"/>
    </xf>
    <xf numFmtId="4" fontId="5" fillId="5" borderId="3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5" fillId="4" borderId="0" xfId="0" applyNumberFormat="1" applyFont="1" applyFill="1" applyAlignment="1">
      <alignment horizontal="center" vertical="center"/>
    </xf>
    <xf numFmtId="4" fontId="5" fillId="5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2" borderId="2" xfId="0" applyNumberFormat="1" applyFont="1" applyFill="1" applyBorder="1" applyAlignment="1">
      <alignment horizontal="center" vertical="center"/>
    </xf>
    <xf numFmtId="4" fontId="5" fillId="3" borderId="6" xfId="0" applyNumberFormat="1" applyFont="1" applyFill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4" fontId="9" fillId="5" borderId="3" xfId="0" applyNumberFormat="1" applyFont="1" applyFill="1" applyBorder="1" applyAlignment="1">
      <alignment horizontal="center" vertical="center"/>
    </xf>
    <xf numFmtId="4" fontId="9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2" fontId="0" fillId="8" borderId="15" xfId="0" applyNumberFormat="1" applyFill="1" applyBorder="1" applyAlignment="1">
      <alignment horizontal="center" vertical="center" wrapText="1"/>
    </xf>
    <xf numFmtId="4" fontId="2" fillId="4" borderId="13" xfId="0" applyNumberFormat="1" applyFont="1" applyFill="1" applyBorder="1" applyAlignment="1">
      <alignment horizontal="center" vertical="center" wrapText="1"/>
    </xf>
    <xf numFmtId="4" fontId="2" fillId="4" borderId="7" xfId="0" applyNumberFormat="1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4" fontId="5" fillId="0" borderId="17" xfId="0" applyNumberFormat="1" applyFont="1" applyBorder="1" applyAlignment="1">
      <alignment horizontal="center" vertical="center"/>
    </xf>
    <xf numFmtId="4" fontId="5" fillId="0" borderId="18" xfId="0" applyNumberFormat="1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4" fontId="5" fillId="5" borderId="17" xfId="0" applyNumberFormat="1" applyFont="1" applyFill="1" applyBorder="1" applyAlignment="1">
      <alignment horizontal="center" vertical="center"/>
    </xf>
    <xf numFmtId="4" fontId="5" fillId="5" borderId="18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 indent="2"/>
    </xf>
    <xf numFmtId="0" fontId="4" fillId="4" borderId="6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4" borderId="11" xfId="0" applyFont="1" applyFill="1" applyBorder="1" applyAlignment="1">
      <alignment vertical="top" wrapText="1"/>
    </xf>
    <xf numFmtId="0" fontId="2" fillId="4" borderId="12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2" fillId="4" borderId="13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4" fontId="2" fillId="4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4" fontId="3" fillId="3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4" fillId="6" borderId="6" xfId="0" applyFont="1" applyFill="1" applyBorder="1" applyAlignment="1">
      <alignment vertical="top" wrapText="1"/>
    </xf>
    <xf numFmtId="0" fontId="4" fillId="6" borderId="11" xfId="0" applyFont="1" applyFill="1" applyBorder="1" applyAlignment="1">
      <alignment vertical="top" wrapText="1"/>
    </xf>
    <xf numFmtId="0" fontId="4" fillId="6" borderId="12" xfId="0" applyFont="1" applyFill="1" applyBorder="1" applyAlignment="1">
      <alignment vertical="top" wrapText="1"/>
    </xf>
    <xf numFmtId="0" fontId="2" fillId="4" borderId="15" xfId="0" applyFont="1" applyFill="1" applyBorder="1" applyAlignment="1">
      <alignment vertical="top" wrapText="1"/>
    </xf>
    <xf numFmtId="0" fontId="2" fillId="4" borderId="16" xfId="0" applyFont="1" applyFill="1" applyBorder="1" applyAlignment="1">
      <alignment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BF9EC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zoomScale="160" zoomScaleNormal="160" workbookViewId="0">
      <selection activeCell="H10" sqref="H10"/>
    </sheetView>
  </sheetViews>
  <sheetFormatPr baseColWidth="10" defaultColWidth="10.75" defaultRowHeight="14" outlineLevelRow="2" x14ac:dyDescent="0.15"/>
  <cols>
    <col min="1" max="1" width="42.25" style="53" customWidth="1"/>
    <col min="2" max="2" width="7" style="53" customWidth="1"/>
    <col min="3" max="3" width="14.25" style="54" customWidth="1"/>
    <col min="4" max="5" width="15" style="54" customWidth="1"/>
    <col min="6" max="6" width="14.25" style="53" customWidth="1"/>
    <col min="7" max="7" width="15" style="53" customWidth="1"/>
    <col min="8" max="10" width="12.25" style="55" customWidth="1"/>
    <col min="11" max="11" width="12.75" style="93" customWidth="1"/>
    <col min="12" max="12" width="1.25" style="100" customWidth="1"/>
    <col min="13" max="13" width="14.75" style="100" customWidth="1"/>
    <col min="14" max="15" width="10" style="56" customWidth="1"/>
    <col min="16" max="16" width="9.25" style="53" customWidth="1"/>
    <col min="17" max="17" width="15.75" style="57" customWidth="1"/>
    <col min="18" max="18" width="16.25" style="11" bestFit="1" customWidth="1"/>
  </cols>
  <sheetData>
    <row r="1" spans="1:19" ht="10" customHeight="1" collapsed="1" x14ac:dyDescent="0.15"/>
    <row r="2" spans="1:19" ht="12.75" hidden="1" customHeight="1" outlineLevel="1" x14ac:dyDescent="0.15">
      <c r="A2" s="58" t="s">
        <v>0</v>
      </c>
      <c r="B2" s="58"/>
      <c r="C2" s="59"/>
      <c r="D2" s="59"/>
      <c r="E2" s="59"/>
      <c r="F2" s="58"/>
    </row>
    <row r="3" spans="1:19" ht="51" hidden="1" customHeight="1" outlineLevel="1" x14ac:dyDescent="0.15">
      <c r="A3" s="58" t="s">
        <v>2</v>
      </c>
      <c r="B3" s="60"/>
      <c r="C3" s="61"/>
      <c r="D3" s="61"/>
      <c r="E3" s="61"/>
    </row>
    <row r="4" spans="1:19" ht="10" customHeight="1" collapsed="1" x14ac:dyDescent="0.15">
      <c r="A4" s="53" t="s">
        <v>67</v>
      </c>
      <c r="P4" s="51"/>
    </row>
    <row r="5" spans="1:19" ht="12.75" customHeight="1" x14ac:dyDescent="0.15">
      <c r="A5" s="62" t="s">
        <v>4</v>
      </c>
      <c r="B5" s="118" t="s">
        <v>5</v>
      </c>
      <c r="C5" s="109" t="s">
        <v>97</v>
      </c>
      <c r="D5" s="109" t="s">
        <v>98</v>
      </c>
      <c r="E5" s="109" t="s">
        <v>101</v>
      </c>
      <c r="F5" s="118" t="s">
        <v>99</v>
      </c>
      <c r="G5" s="118" t="s">
        <v>6</v>
      </c>
      <c r="H5" s="123" t="s">
        <v>95</v>
      </c>
      <c r="I5" s="115" t="s">
        <v>100</v>
      </c>
      <c r="J5" s="115" t="s">
        <v>103</v>
      </c>
      <c r="K5" s="132" t="s">
        <v>93</v>
      </c>
      <c r="L5" s="135" t="s">
        <v>91</v>
      </c>
      <c r="M5" s="128" t="s">
        <v>96</v>
      </c>
      <c r="N5" s="108" t="s">
        <v>102</v>
      </c>
      <c r="O5" s="108" t="s">
        <v>104</v>
      </c>
      <c r="P5" s="131" t="s">
        <v>92</v>
      </c>
      <c r="Q5" s="107" t="s">
        <v>94</v>
      </c>
    </row>
    <row r="6" spans="1:19" ht="12.75" customHeight="1" x14ac:dyDescent="0.15">
      <c r="A6" s="62" t="s">
        <v>7</v>
      </c>
      <c r="B6" s="119"/>
      <c r="C6" s="109"/>
      <c r="D6" s="109"/>
      <c r="E6" s="109"/>
      <c r="F6" s="121"/>
      <c r="G6" s="119"/>
      <c r="H6" s="124"/>
      <c r="I6" s="116"/>
      <c r="J6" s="116"/>
      <c r="K6" s="133"/>
      <c r="L6" s="136"/>
      <c r="M6" s="129"/>
      <c r="N6" s="108"/>
      <c r="O6" s="108"/>
      <c r="P6" s="121"/>
      <c r="Q6" s="107"/>
    </row>
    <row r="7" spans="1:19" ht="46.5" customHeight="1" x14ac:dyDescent="0.15">
      <c r="A7" s="62" t="s">
        <v>8</v>
      </c>
      <c r="B7" s="120"/>
      <c r="C7" s="110"/>
      <c r="D7" s="110"/>
      <c r="E7" s="110"/>
      <c r="F7" s="122"/>
      <c r="G7" s="120"/>
      <c r="H7" s="125"/>
      <c r="I7" s="117"/>
      <c r="J7" s="117"/>
      <c r="K7" s="134"/>
      <c r="L7" s="137"/>
      <c r="M7" s="130"/>
      <c r="N7" s="108"/>
      <c r="O7" s="108"/>
      <c r="P7" s="122"/>
      <c r="Q7" s="107"/>
    </row>
    <row r="8" spans="1:19" ht="11.25" customHeight="1" x14ac:dyDescent="0.15">
      <c r="A8" s="63" t="s">
        <v>9</v>
      </c>
      <c r="B8" s="64"/>
      <c r="C8" s="65"/>
      <c r="D8" s="65"/>
      <c r="E8" s="65"/>
      <c r="F8" s="65"/>
      <c r="G8" s="65"/>
      <c r="H8" s="66"/>
      <c r="I8" s="66"/>
      <c r="J8" s="66"/>
      <c r="K8" s="75"/>
      <c r="L8" s="101"/>
      <c r="M8" s="101"/>
      <c r="N8" s="108"/>
      <c r="O8" s="108"/>
      <c r="P8" s="67"/>
      <c r="Q8" s="68"/>
    </row>
    <row r="9" spans="1:19" ht="11.25" customHeight="1" outlineLevel="1" x14ac:dyDescent="0.15">
      <c r="A9" s="69" t="s">
        <v>10</v>
      </c>
      <c r="B9" s="70"/>
      <c r="C9" s="71"/>
      <c r="D9" s="71"/>
      <c r="E9" s="71"/>
      <c r="F9" s="71"/>
      <c r="G9" s="71"/>
      <c r="H9" s="72"/>
      <c r="I9" s="72"/>
      <c r="J9" s="72"/>
      <c r="K9" s="75"/>
      <c r="L9" s="102"/>
      <c r="M9" s="102"/>
      <c r="P9" s="73"/>
      <c r="Q9" s="68"/>
    </row>
    <row r="10" spans="1:19" outlineLevel="2" x14ac:dyDescent="0.15">
      <c r="A10" s="74" t="s">
        <v>11</v>
      </c>
      <c r="B10" s="75">
        <v>37</v>
      </c>
      <c r="C10" s="76">
        <v>2045</v>
      </c>
      <c r="D10" s="76">
        <v>2200</v>
      </c>
      <c r="E10" s="76">
        <f>2200</f>
        <v>2200</v>
      </c>
      <c r="F10" s="76">
        <v>50309.97</v>
      </c>
      <c r="G10" s="76">
        <v>41924.94</v>
      </c>
      <c r="H10" s="77">
        <f>(F10)/B10</f>
        <v>1359.7289189189189</v>
      </c>
      <c r="I10" s="97">
        <f>H10/C10*D10</f>
        <v>1462.7890570276879</v>
      </c>
      <c r="J10" s="97">
        <f>I10/C10*E10</f>
        <v>1573.6605992473903</v>
      </c>
      <c r="K10" s="103">
        <v>520.66</v>
      </c>
      <c r="L10" s="52">
        <f>K10*B10</f>
        <v>19264.419999999998</v>
      </c>
      <c r="M10" s="104">
        <f>K10/1.07</f>
        <v>486.59813084112142</v>
      </c>
      <c r="N10" s="78">
        <f>(H10/M10-1)*100</f>
        <v>179.43570530542837</v>
      </c>
      <c r="O10" s="78">
        <f>(J10/M10-1)*100</f>
        <v>223.40046118286557</v>
      </c>
      <c r="P10" s="79"/>
      <c r="Q10" s="68">
        <f>M10*B10</f>
        <v>18004.130841121492</v>
      </c>
      <c r="R10" s="11">
        <f>J10*B10</f>
        <v>58225.442172153445</v>
      </c>
    </row>
    <row r="11" spans="1:19" outlineLevel="2" x14ac:dyDescent="0.15">
      <c r="A11" s="74" t="s">
        <v>12</v>
      </c>
      <c r="B11" s="75">
        <v>8</v>
      </c>
      <c r="C11" s="76">
        <v>4090</v>
      </c>
      <c r="D11" s="76">
        <v>4330</v>
      </c>
      <c r="E11" s="76">
        <f>4330*1.3</f>
        <v>5629</v>
      </c>
      <c r="F11" s="76">
        <v>17489.55</v>
      </c>
      <c r="G11" s="76">
        <v>14574.62</v>
      </c>
      <c r="H11" s="77">
        <f t="shared" ref="H11:H34" si="0">(F11)/B11</f>
        <v>2186.1937499999999</v>
      </c>
      <c r="I11" s="97">
        <f t="shared" ref="I11:I34" si="1">H11/C11*D11</f>
        <v>2314.4789578239606</v>
      </c>
      <c r="J11" s="97">
        <f t="shared" ref="J11:J34" si="2">I11/C11*E11</f>
        <v>3185.3794752056415</v>
      </c>
      <c r="K11" s="103">
        <v>1325.1</v>
      </c>
      <c r="L11" s="52">
        <f t="shared" ref="L11:L34" si="3">K11*B11</f>
        <v>10600.8</v>
      </c>
      <c r="M11" s="104">
        <f t="shared" ref="M11:M34" si="4">K11/1.07</f>
        <v>1238.4112149532709</v>
      </c>
      <c r="N11" s="78">
        <f>(H11/M11-1)*100</f>
        <v>76.53213436721758</v>
      </c>
      <c r="O11" s="78">
        <f>(J11/M11-1)*100</f>
        <v>157.21500554449</v>
      </c>
      <c r="P11" s="79"/>
      <c r="Q11" s="68">
        <f t="shared" ref="Q11:Q34" si="5">M11*B11</f>
        <v>9907.2897196261674</v>
      </c>
      <c r="R11" s="11">
        <f t="shared" ref="R11:R34" si="6">J11*B11</f>
        <v>25483.035801645132</v>
      </c>
    </row>
    <row r="12" spans="1:19" outlineLevel="2" x14ac:dyDescent="0.15">
      <c r="A12" s="74" t="s">
        <v>13</v>
      </c>
      <c r="B12" s="75">
        <v>48</v>
      </c>
      <c r="C12" s="76">
        <v>1170</v>
      </c>
      <c r="D12" s="76">
        <v>1230</v>
      </c>
      <c r="E12" s="76">
        <f>1230</f>
        <v>1230</v>
      </c>
      <c r="F12" s="76">
        <v>33733.21</v>
      </c>
      <c r="G12" s="76">
        <v>28110.99</v>
      </c>
      <c r="H12" s="77">
        <f t="shared" si="0"/>
        <v>702.77520833333335</v>
      </c>
      <c r="I12" s="97">
        <f t="shared" si="1"/>
        <v>738.81496260683764</v>
      </c>
      <c r="J12" s="97">
        <f t="shared" si="2"/>
        <v>776.70290940718837</v>
      </c>
      <c r="K12" s="103">
        <v>288.64999999999998</v>
      </c>
      <c r="L12" s="52">
        <f t="shared" si="3"/>
        <v>13855.199999999999</v>
      </c>
      <c r="M12" s="104">
        <f t="shared" si="4"/>
        <v>269.76635514018687</v>
      </c>
      <c r="N12" s="78">
        <f t="shared" ref="N12:N34" si="7">(H12/M12-1)*100</f>
        <v>160.51254907904618</v>
      </c>
      <c r="O12" s="78">
        <f t="shared" ref="O12:O34" si="8">(J12/M12-1)*100</f>
        <v>187.91689349235813</v>
      </c>
      <c r="P12" s="79"/>
      <c r="Q12" s="68">
        <f t="shared" si="5"/>
        <v>12948.78504672897</v>
      </c>
      <c r="R12" s="11">
        <f t="shared" si="6"/>
        <v>37281.739651545038</v>
      </c>
      <c r="S12" s="11"/>
    </row>
    <row r="13" spans="1:19" outlineLevel="2" x14ac:dyDescent="0.15">
      <c r="A13" s="74" t="s">
        <v>14</v>
      </c>
      <c r="B13" s="75">
        <v>1</v>
      </c>
      <c r="C13" s="76">
        <v>2270</v>
      </c>
      <c r="D13" s="76">
        <v>2390</v>
      </c>
      <c r="E13" s="76">
        <f>2390</f>
        <v>2390</v>
      </c>
      <c r="F13" s="76">
        <v>1335.24</v>
      </c>
      <c r="G13" s="80">
        <v>1112.7</v>
      </c>
      <c r="H13" s="77">
        <f t="shared" si="0"/>
        <v>1335.24</v>
      </c>
      <c r="I13" s="97">
        <f t="shared" si="1"/>
        <v>1405.8253744493391</v>
      </c>
      <c r="J13" s="97">
        <f t="shared" si="2"/>
        <v>1480.1421343321233</v>
      </c>
      <c r="K13" s="103">
        <v>633.67999999999995</v>
      </c>
      <c r="L13" s="52">
        <f t="shared" si="3"/>
        <v>633.67999999999995</v>
      </c>
      <c r="M13" s="104">
        <f t="shared" si="4"/>
        <v>592.2242990654205</v>
      </c>
      <c r="N13" s="78">
        <f t="shared" si="7"/>
        <v>125.46187350082062</v>
      </c>
      <c r="O13" s="78">
        <f t="shared" si="8"/>
        <v>149.92931506996783</v>
      </c>
      <c r="P13" s="79"/>
      <c r="Q13" s="68">
        <f t="shared" si="5"/>
        <v>592.2242990654205</v>
      </c>
      <c r="R13" s="11">
        <f t="shared" si="6"/>
        <v>1480.1421343321233</v>
      </c>
    </row>
    <row r="14" spans="1:19" outlineLevel="2" x14ac:dyDescent="0.15">
      <c r="A14" s="74" t="s">
        <v>15</v>
      </c>
      <c r="B14" s="75">
        <v>29</v>
      </c>
      <c r="C14" s="76">
        <v>2635</v>
      </c>
      <c r="D14" s="76">
        <f>2780</f>
        <v>2780</v>
      </c>
      <c r="E14" s="76">
        <f>2780*1.3</f>
        <v>3614</v>
      </c>
      <c r="F14" s="76">
        <v>32260.34</v>
      </c>
      <c r="G14" s="76">
        <v>26883.61</v>
      </c>
      <c r="H14" s="77">
        <f t="shared" si="0"/>
        <v>1112.4255172413793</v>
      </c>
      <c r="I14" s="97">
        <f t="shared" si="1"/>
        <v>1173.6405836550416</v>
      </c>
      <c r="J14" s="97">
        <f t="shared" si="2"/>
        <v>1609.6914874115068</v>
      </c>
      <c r="K14" s="103">
        <v>746.75</v>
      </c>
      <c r="L14" s="52">
        <f t="shared" si="3"/>
        <v>21655.75</v>
      </c>
      <c r="M14" s="104">
        <f t="shared" si="4"/>
        <v>697.89719626168221</v>
      </c>
      <c r="N14" s="78">
        <f t="shared" si="7"/>
        <v>59.396759752028913</v>
      </c>
      <c r="O14" s="78">
        <f t="shared" si="8"/>
        <v>130.64879699100265</v>
      </c>
      <c r="P14" s="79"/>
      <c r="Q14" s="68">
        <f t="shared" si="5"/>
        <v>20239.018691588783</v>
      </c>
      <c r="R14" s="11">
        <f t="shared" si="6"/>
        <v>46681.053134933696</v>
      </c>
    </row>
    <row r="15" spans="1:19" outlineLevel="2" x14ac:dyDescent="0.15">
      <c r="A15" s="74" t="s">
        <v>16</v>
      </c>
      <c r="B15" s="75">
        <v>146</v>
      </c>
      <c r="C15" s="76">
        <v>3570</v>
      </c>
      <c r="D15" s="76">
        <v>3830</v>
      </c>
      <c r="E15" s="76">
        <f>3830*1.15</f>
        <v>4404.5</v>
      </c>
      <c r="F15" s="76">
        <v>218919.43</v>
      </c>
      <c r="G15" s="76">
        <v>182432.87</v>
      </c>
      <c r="H15" s="77">
        <f t="shared" si="0"/>
        <v>1499.4481506849315</v>
      </c>
      <c r="I15" s="97">
        <f t="shared" si="1"/>
        <v>1608.6516574575037</v>
      </c>
      <c r="J15" s="97">
        <f t="shared" si="2"/>
        <v>1984.6796149220097</v>
      </c>
      <c r="K15" s="103">
        <v>925.44</v>
      </c>
      <c r="L15" s="52">
        <f t="shared" si="3"/>
        <v>135114.24000000002</v>
      </c>
      <c r="M15" s="104">
        <f t="shared" si="4"/>
        <v>864.89719626168221</v>
      </c>
      <c r="N15" s="78">
        <f t="shared" si="7"/>
        <v>73.367211405696395</v>
      </c>
      <c r="O15" s="78">
        <f t="shared" si="8"/>
        <v>129.47000215751973</v>
      </c>
      <c r="P15" s="79"/>
      <c r="Q15" s="68">
        <f t="shared" si="5"/>
        <v>126274.9906542056</v>
      </c>
      <c r="R15" s="11">
        <f t="shared" si="6"/>
        <v>289763.22377861344</v>
      </c>
    </row>
    <row r="16" spans="1:19" outlineLevel="2" x14ac:dyDescent="0.15">
      <c r="A16" s="74" t="s">
        <v>17</v>
      </c>
      <c r="B16" s="75">
        <v>68</v>
      </c>
      <c r="C16" s="76">
        <v>4150</v>
      </c>
      <c r="D16" s="76">
        <v>4470</v>
      </c>
      <c r="E16" s="76">
        <v>4470</v>
      </c>
      <c r="F16" s="76">
        <v>138051.18</v>
      </c>
      <c r="G16" s="80">
        <v>115042.5</v>
      </c>
      <c r="H16" s="77">
        <f t="shared" si="0"/>
        <v>2030.1644117647058</v>
      </c>
      <c r="I16" s="97">
        <f t="shared" si="1"/>
        <v>2186.7072097802975</v>
      </c>
      <c r="J16" s="97">
        <f t="shared" si="2"/>
        <v>2355.3207777633565</v>
      </c>
      <c r="K16" s="103">
        <v>1086.8599999999999</v>
      </c>
      <c r="L16" s="52">
        <f t="shared" si="3"/>
        <v>73906.48</v>
      </c>
      <c r="M16" s="104">
        <f t="shared" si="4"/>
        <v>1015.7570093457942</v>
      </c>
      <c r="N16" s="78">
        <f t="shared" si="7"/>
        <v>99.867132895518779</v>
      </c>
      <c r="O16" s="78">
        <f t="shared" si="8"/>
        <v>131.87836816211765</v>
      </c>
      <c r="P16" s="79">
        <v>1</v>
      </c>
      <c r="Q16" s="68">
        <f t="shared" si="5"/>
        <v>69071.476635514002</v>
      </c>
      <c r="R16" s="11">
        <f t="shared" si="6"/>
        <v>160161.81288790825</v>
      </c>
    </row>
    <row r="17" spans="1:18" outlineLevel="2" x14ac:dyDescent="0.15">
      <c r="A17" s="74" t="s">
        <v>18</v>
      </c>
      <c r="B17" s="75">
        <v>62</v>
      </c>
      <c r="C17" s="76">
        <v>4460</v>
      </c>
      <c r="D17" s="76">
        <v>4790</v>
      </c>
      <c r="E17" s="76">
        <v>4790</v>
      </c>
      <c r="F17" s="76">
        <v>147515.94</v>
      </c>
      <c r="G17" s="76">
        <v>122929.88</v>
      </c>
      <c r="H17" s="77">
        <f t="shared" si="0"/>
        <v>2379.2893548387096</v>
      </c>
      <c r="I17" s="97">
        <f t="shared" si="1"/>
        <v>2555.3354281787938</v>
      </c>
      <c r="J17" s="97">
        <f t="shared" si="2"/>
        <v>2744.4073320574939</v>
      </c>
      <c r="K17" s="103">
        <v>1243.56</v>
      </c>
      <c r="L17" s="52">
        <f t="shared" si="3"/>
        <v>77100.72</v>
      </c>
      <c r="M17" s="104">
        <f t="shared" si="4"/>
        <v>1162.2056074766354</v>
      </c>
      <c r="N17" s="78">
        <f t="shared" si="7"/>
        <v>104.72189598229433</v>
      </c>
      <c r="O17" s="78">
        <f t="shared" si="8"/>
        <v>136.13784982642727</v>
      </c>
      <c r="P17" s="79">
        <v>2</v>
      </c>
      <c r="Q17" s="68">
        <f t="shared" si="5"/>
        <v>72056.747663551389</v>
      </c>
      <c r="R17" s="11">
        <f t="shared" si="6"/>
        <v>170153.25458756462</v>
      </c>
    </row>
    <row r="18" spans="1:18" outlineLevel="2" x14ac:dyDescent="0.15">
      <c r="A18" s="74" t="s">
        <v>19</v>
      </c>
      <c r="B18" s="75">
        <v>92</v>
      </c>
      <c r="C18" s="76">
        <v>6240</v>
      </c>
      <c r="D18" s="76">
        <v>6700</v>
      </c>
      <c r="E18" s="76">
        <f>6700*1.1</f>
        <v>7370.0000000000009</v>
      </c>
      <c r="F18" s="76">
        <v>216361.01</v>
      </c>
      <c r="G18" s="76">
        <v>180300.83</v>
      </c>
      <c r="H18" s="77">
        <f t="shared" si="0"/>
        <v>2351.7501086956522</v>
      </c>
      <c r="I18" s="97">
        <f t="shared" si="1"/>
        <v>2525.1163026059085</v>
      </c>
      <c r="J18" s="97">
        <f t="shared" si="2"/>
        <v>2982.3889663790942</v>
      </c>
      <c r="K18" s="103">
        <v>1566.85</v>
      </c>
      <c r="L18" s="52">
        <f t="shared" si="3"/>
        <v>144150.19999999998</v>
      </c>
      <c r="M18" s="104">
        <f t="shared" si="4"/>
        <v>1464.3457943925232</v>
      </c>
      <c r="N18" s="78">
        <f t="shared" si="7"/>
        <v>60.600734997245944</v>
      </c>
      <c r="O18" s="78">
        <f t="shared" si="8"/>
        <v>103.66698752437253</v>
      </c>
      <c r="P18" s="79"/>
      <c r="Q18" s="68">
        <f t="shared" si="5"/>
        <v>134719.81308411213</v>
      </c>
      <c r="R18" s="11">
        <f t="shared" si="6"/>
        <v>274379.78490687668</v>
      </c>
    </row>
    <row r="19" spans="1:18" outlineLevel="2" x14ac:dyDescent="0.15">
      <c r="A19" s="74" t="s">
        <v>20</v>
      </c>
      <c r="B19" s="75">
        <v>17</v>
      </c>
      <c r="C19" s="76">
        <v>4100</v>
      </c>
      <c r="D19" s="76">
        <v>4350</v>
      </c>
      <c r="E19" s="76">
        <f>4350*1.5</f>
        <v>6525</v>
      </c>
      <c r="F19" s="76">
        <v>33020.58</v>
      </c>
      <c r="G19" s="76">
        <v>27517.16</v>
      </c>
      <c r="H19" s="77">
        <f t="shared" si="0"/>
        <v>1942.3870588235295</v>
      </c>
      <c r="I19" s="97">
        <f t="shared" si="1"/>
        <v>2060.825294117647</v>
      </c>
      <c r="J19" s="97">
        <f t="shared" si="2"/>
        <v>3279.7280595408893</v>
      </c>
      <c r="K19" s="103">
        <v>1843.07</v>
      </c>
      <c r="L19" s="52">
        <f t="shared" si="3"/>
        <v>31332.19</v>
      </c>
      <c r="M19" s="104">
        <f t="shared" si="4"/>
        <v>1722.4953271028037</v>
      </c>
      <c r="N19" s="78">
        <f t="shared" si="7"/>
        <v>12.765882627419289</v>
      </c>
      <c r="O19" s="78">
        <f>(J19/M19-1)*100</f>
        <v>90.405628853421277</v>
      </c>
      <c r="P19" s="79"/>
      <c r="Q19" s="68">
        <f t="shared" si="5"/>
        <v>29282.420560747662</v>
      </c>
      <c r="R19" s="11">
        <f t="shared" si="6"/>
        <v>55755.377012195117</v>
      </c>
    </row>
    <row r="20" spans="1:18" outlineLevel="2" x14ac:dyDescent="0.15">
      <c r="A20" s="74" t="s">
        <v>21</v>
      </c>
      <c r="B20" s="75">
        <v>1</v>
      </c>
      <c r="C20" s="76">
        <v>5800</v>
      </c>
      <c r="D20" s="76">
        <v>6100</v>
      </c>
      <c r="E20" s="76">
        <f>6100*1.2</f>
        <v>7320</v>
      </c>
      <c r="F20" s="76">
        <v>3183.18</v>
      </c>
      <c r="G20" s="76">
        <v>2652.65</v>
      </c>
      <c r="H20" s="77">
        <f t="shared" si="0"/>
        <v>3183.18</v>
      </c>
      <c r="I20" s="97">
        <f t="shared" si="1"/>
        <v>3347.8272413793102</v>
      </c>
      <c r="J20" s="97">
        <f t="shared" si="2"/>
        <v>4225.1888632580258</v>
      </c>
      <c r="K20" s="103">
        <v>2306.09</v>
      </c>
      <c r="L20" s="52">
        <f t="shared" si="3"/>
        <v>2306.09</v>
      </c>
      <c r="M20" s="104">
        <f t="shared" si="4"/>
        <v>2155.2242990654204</v>
      </c>
      <c r="N20" s="78">
        <f t="shared" si="7"/>
        <v>47.695996253398619</v>
      </c>
      <c r="O20" s="78">
        <f t="shared" si="8"/>
        <v>96.044043540628849</v>
      </c>
      <c r="P20" s="79"/>
      <c r="Q20" s="68">
        <f t="shared" si="5"/>
        <v>2155.2242990654204</v>
      </c>
      <c r="R20" s="11">
        <f t="shared" si="6"/>
        <v>4225.1888632580258</v>
      </c>
    </row>
    <row r="21" spans="1:18" outlineLevel="2" x14ac:dyDescent="0.15">
      <c r="A21" s="74" t="s">
        <v>22</v>
      </c>
      <c r="B21" s="75">
        <v>23</v>
      </c>
      <c r="C21" s="76">
        <v>5600</v>
      </c>
      <c r="D21" s="76">
        <v>5800</v>
      </c>
      <c r="E21" s="76">
        <f>5800*1.3</f>
        <v>7540</v>
      </c>
      <c r="F21" s="76">
        <v>68794.59</v>
      </c>
      <c r="G21" s="76">
        <v>57328.82</v>
      </c>
      <c r="H21" s="77">
        <f t="shared" si="0"/>
        <v>2991.0691304347824</v>
      </c>
      <c r="I21" s="97">
        <f t="shared" si="1"/>
        <v>3097.8930279503102</v>
      </c>
      <c r="J21" s="97">
        <f t="shared" si="2"/>
        <v>4171.0916840616674</v>
      </c>
      <c r="K21" s="103">
        <v>2344.02</v>
      </c>
      <c r="L21" s="52">
        <f t="shared" si="3"/>
        <v>53912.46</v>
      </c>
      <c r="M21" s="104">
        <f t="shared" si="4"/>
        <v>2190.6728971962616</v>
      </c>
      <c r="N21" s="78">
        <f t="shared" si="7"/>
        <v>36.536547024565365</v>
      </c>
      <c r="O21" s="78">
        <f t="shared" si="8"/>
        <v>90.402304670863913</v>
      </c>
      <c r="P21" s="79">
        <v>1</v>
      </c>
      <c r="Q21" s="68">
        <f t="shared" si="5"/>
        <v>50385.476635514016</v>
      </c>
      <c r="R21" s="11">
        <f t="shared" si="6"/>
        <v>95935.108733418354</v>
      </c>
    </row>
    <row r="22" spans="1:18" outlineLevel="2" x14ac:dyDescent="0.15">
      <c r="A22" s="74" t="s">
        <v>23</v>
      </c>
      <c r="B22" s="75">
        <v>11</v>
      </c>
      <c r="C22" s="76">
        <v>7700</v>
      </c>
      <c r="D22" s="76">
        <v>8100</v>
      </c>
      <c r="E22" s="76">
        <f>8100*1.35</f>
        <v>10935</v>
      </c>
      <c r="F22" s="76">
        <v>39410.620000000003</v>
      </c>
      <c r="G22" s="80">
        <v>32842.199999999997</v>
      </c>
      <c r="H22" s="77">
        <f t="shared" si="0"/>
        <v>3582.7836363636366</v>
      </c>
      <c r="I22" s="97">
        <f t="shared" si="1"/>
        <v>3768.902266824085</v>
      </c>
      <c r="J22" s="97">
        <f t="shared" si="2"/>
        <v>5352.3306867170613</v>
      </c>
      <c r="K22" s="103">
        <v>2955.9</v>
      </c>
      <c r="L22" s="52">
        <f t="shared" si="3"/>
        <v>32514.9</v>
      </c>
      <c r="M22" s="104">
        <f t="shared" si="4"/>
        <v>2762.5233644859813</v>
      </c>
      <c r="N22" s="78">
        <f t="shared" si="7"/>
        <v>29.6924283943669</v>
      </c>
      <c r="O22" s="78">
        <f t="shared" si="8"/>
        <v>93.74788845317012</v>
      </c>
      <c r="P22" s="79"/>
      <c r="Q22" s="68">
        <f t="shared" si="5"/>
        <v>30387.757009345794</v>
      </c>
      <c r="R22" s="11">
        <f t="shared" si="6"/>
        <v>58875.637553887675</v>
      </c>
    </row>
    <row r="23" spans="1:18" outlineLevel="2" x14ac:dyDescent="0.15">
      <c r="A23" s="74" t="s">
        <v>24</v>
      </c>
      <c r="B23" s="75">
        <v>17</v>
      </c>
      <c r="C23" s="76">
        <v>6600</v>
      </c>
      <c r="D23" s="76">
        <v>7000</v>
      </c>
      <c r="E23" s="76">
        <f>7000*1.25</f>
        <v>8750</v>
      </c>
      <c r="F23" s="76">
        <v>58817.25</v>
      </c>
      <c r="G23" s="76">
        <v>49014.36</v>
      </c>
      <c r="H23" s="77">
        <f t="shared" si="0"/>
        <v>3459.8382352941176</v>
      </c>
      <c r="I23" s="97">
        <f t="shared" si="1"/>
        <v>3669.5254010695185</v>
      </c>
      <c r="J23" s="97">
        <f t="shared" si="2"/>
        <v>4864.9010999027714</v>
      </c>
      <c r="K23" s="103">
        <v>2641.14</v>
      </c>
      <c r="L23" s="52">
        <f t="shared" si="3"/>
        <v>44899.38</v>
      </c>
      <c r="M23" s="104">
        <f t="shared" si="4"/>
        <v>2468.3551401869158</v>
      </c>
      <c r="N23" s="78">
        <f t="shared" si="7"/>
        <v>40.167765122814615</v>
      </c>
      <c r="O23" s="78">
        <f t="shared" si="8"/>
        <v>97.090808396978787</v>
      </c>
      <c r="P23" s="79">
        <v>5</v>
      </c>
      <c r="Q23" s="68">
        <f t="shared" si="5"/>
        <v>41962.037383177572</v>
      </c>
      <c r="R23" s="11">
        <f t="shared" si="6"/>
        <v>82703.31869834711</v>
      </c>
    </row>
    <row r="24" spans="1:18" outlineLevel="2" x14ac:dyDescent="0.15">
      <c r="A24" s="74" t="s">
        <v>25</v>
      </c>
      <c r="B24" s="75">
        <v>12</v>
      </c>
      <c r="C24" s="76">
        <v>6400</v>
      </c>
      <c r="D24" s="76">
        <v>6750</v>
      </c>
      <c r="E24" s="76">
        <f>6750*1.3</f>
        <v>8775</v>
      </c>
      <c r="F24" s="80">
        <v>37130.699999999997</v>
      </c>
      <c r="G24" s="76">
        <v>30942.25</v>
      </c>
      <c r="H24" s="77">
        <f t="shared" si="0"/>
        <v>3094.2249999999999</v>
      </c>
      <c r="I24" s="97">
        <f t="shared" si="1"/>
        <v>3263.4404296874995</v>
      </c>
      <c r="J24" s="97">
        <f t="shared" si="2"/>
        <v>4474.4827766418457</v>
      </c>
      <c r="K24" s="103">
        <v>2417.84</v>
      </c>
      <c r="L24" s="52">
        <f t="shared" si="3"/>
        <v>29014.080000000002</v>
      </c>
      <c r="M24" s="104">
        <f t="shared" si="4"/>
        <v>2259.663551401869</v>
      </c>
      <c r="N24" s="78">
        <f t="shared" si="7"/>
        <v>36.93299597988289</v>
      </c>
      <c r="O24" s="78">
        <f t="shared" si="8"/>
        <v>98.015442337242135</v>
      </c>
      <c r="P24" s="79"/>
      <c r="Q24" s="68">
        <f t="shared" si="5"/>
        <v>27115.962616822428</v>
      </c>
      <c r="R24" s="11">
        <f t="shared" si="6"/>
        <v>53693.793319702148</v>
      </c>
    </row>
    <row r="25" spans="1:18" outlineLevel="2" x14ac:dyDescent="0.15">
      <c r="A25" s="74" t="s">
        <v>26</v>
      </c>
      <c r="B25" s="75">
        <v>19</v>
      </c>
      <c r="C25" s="76">
        <v>8200</v>
      </c>
      <c r="D25" s="76">
        <v>8600</v>
      </c>
      <c r="E25" s="76">
        <f>8600*1.3</f>
        <v>11180</v>
      </c>
      <c r="F25" s="76">
        <v>69079.66</v>
      </c>
      <c r="G25" s="76">
        <v>57566.39</v>
      </c>
      <c r="H25" s="77">
        <f t="shared" si="0"/>
        <v>3635.7715789473687</v>
      </c>
      <c r="I25" s="97">
        <f t="shared" si="1"/>
        <v>3813.1262901155328</v>
      </c>
      <c r="J25" s="97">
        <f t="shared" si="2"/>
        <v>5198.8721857916653</v>
      </c>
      <c r="K25" s="103">
        <v>3007.9</v>
      </c>
      <c r="L25" s="52">
        <f t="shared" si="3"/>
        <v>57150.1</v>
      </c>
      <c r="M25" s="104">
        <f t="shared" si="4"/>
        <v>2811.1214953271028</v>
      </c>
      <c r="N25" s="78">
        <f t="shared" si="7"/>
        <v>29.335270104514265</v>
      </c>
      <c r="O25" s="78">
        <f t="shared" si="8"/>
        <v>84.939434116728691</v>
      </c>
      <c r="P25" s="79"/>
      <c r="Q25" s="68">
        <f t="shared" si="5"/>
        <v>53411.308411214952</v>
      </c>
      <c r="R25" s="11">
        <f t="shared" si="6"/>
        <v>98778.571530041634</v>
      </c>
    </row>
    <row r="26" spans="1:18" outlineLevel="2" x14ac:dyDescent="0.15">
      <c r="A26" s="74" t="s">
        <v>27</v>
      </c>
      <c r="B26" s="75">
        <v>1</v>
      </c>
      <c r="C26" s="76">
        <v>8300</v>
      </c>
      <c r="D26" s="76">
        <v>8700</v>
      </c>
      <c r="E26" s="76">
        <f>8700*1.2</f>
        <v>10440</v>
      </c>
      <c r="F26" s="76">
        <v>4778.3100000000004</v>
      </c>
      <c r="G26" s="76">
        <v>3981.92</v>
      </c>
      <c r="H26" s="77">
        <f t="shared" si="0"/>
        <v>4778.3100000000004</v>
      </c>
      <c r="I26" s="97">
        <f t="shared" si="1"/>
        <v>5008.5900000000011</v>
      </c>
      <c r="J26" s="97">
        <f t="shared" si="2"/>
        <v>6299.961397590363</v>
      </c>
      <c r="K26" s="103">
        <v>2899.25</v>
      </c>
      <c r="L26" s="52">
        <f t="shared" si="3"/>
        <v>2899.25</v>
      </c>
      <c r="M26" s="104">
        <f t="shared" si="4"/>
        <v>2709.5794392523362</v>
      </c>
      <c r="N26" s="78">
        <f t="shared" si="7"/>
        <v>76.34876950935589</v>
      </c>
      <c r="O26" s="78">
        <f t="shared" si="8"/>
        <v>132.50698268247612</v>
      </c>
      <c r="P26" s="79"/>
      <c r="Q26" s="68">
        <f t="shared" si="5"/>
        <v>2709.5794392523362</v>
      </c>
      <c r="R26" s="11">
        <f t="shared" si="6"/>
        <v>6299.961397590363</v>
      </c>
    </row>
    <row r="27" spans="1:18" outlineLevel="2" x14ac:dyDescent="0.15">
      <c r="A27" s="74" t="s">
        <v>28</v>
      </c>
      <c r="B27" s="75">
        <v>11</v>
      </c>
      <c r="C27" s="76">
        <v>9900</v>
      </c>
      <c r="D27" s="76">
        <v>10400</v>
      </c>
      <c r="E27" s="76">
        <f>10400*1.2</f>
        <v>12480</v>
      </c>
      <c r="F27" s="76">
        <v>52208.39</v>
      </c>
      <c r="G27" s="76">
        <v>43506.97</v>
      </c>
      <c r="H27" s="77">
        <f t="shared" si="0"/>
        <v>4746.2172727272728</v>
      </c>
      <c r="I27" s="97">
        <f t="shared" si="1"/>
        <v>4985.9252157943065</v>
      </c>
      <c r="J27" s="97">
        <f t="shared" si="2"/>
        <v>6285.287544758884</v>
      </c>
      <c r="K27" s="103">
        <v>3479.95</v>
      </c>
      <c r="L27" s="52">
        <f t="shared" si="3"/>
        <v>38279.449999999997</v>
      </c>
      <c r="M27" s="104">
        <f t="shared" si="4"/>
        <v>3252.2897196261679</v>
      </c>
      <c r="N27" s="78">
        <f t="shared" si="7"/>
        <v>45.934639343041781</v>
      </c>
      <c r="O27" s="78">
        <f t="shared" si="8"/>
        <v>93.257307515682882</v>
      </c>
      <c r="P27" s="79"/>
      <c r="Q27" s="68">
        <f t="shared" si="5"/>
        <v>35775.186915887847</v>
      </c>
      <c r="R27" s="11">
        <f t="shared" si="6"/>
        <v>69138.16299234773</v>
      </c>
    </row>
    <row r="28" spans="1:18" ht="28" outlineLevel="2" x14ac:dyDescent="0.15">
      <c r="A28" s="74" t="s">
        <v>29</v>
      </c>
      <c r="B28" s="75">
        <v>68</v>
      </c>
      <c r="C28" s="76">
        <v>5900</v>
      </c>
      <c r="D28" s="76">
        <v>6340</v>
      </c>
      <c r="E28" s="76">
        <f>6340*1.1</f>
        <v>6974.0000000000009</v>
      </c>
      <c r="F28" s="76">
        <v>226306.14</v>
      </c>
      <c r="G28" s="76">
        <v>188588.34</v>
      </c>
      <c r="H28" s="77">
        <f t="shared" si="0"/>
        <v>3328.0314705882356</v>
      </c>
      <c r="I28" s="97">
        <f t="shared" si="1"/>
        <v>3576.2236480558331</v>
      </c>
      <c r="J28" s="97">
        <f t="shared" si="2"/>
        <v>4227.2175799222687</v>
      </c>
      <c r="K28" s="103">
        <v>2271.42</v>
      </c>
      <c r="L28" s="52">
        <f t="shared" si="3"/>
        <v>154456.56</v>
      </c>
      <c r="M28" s="104">
        <f t="shared" si="4"/>
        <v>2122.8224299065419</v>
      </c>
      <c r="N28" s="78">
        <f t="shared" si="7"/>
        <v>56.773897981413057</v>
      </c>
      <c r="O28" s="78">
        <f t="shared" si="8"/>
        <v>99.131944357134657</v>
      </c>
      <c r="P28" s="79">
        <v>1</v>
      </c>
      <c r="Q28" s="68">
        <f t="shared" si="5"/>
        <v>144351.92523364484</v>
      </c>
      <c r="R28" s="11">
        <f t="shared" si="6"/>
        <v>287450.79543471429</v>
      </c>
    </row>
    <row r="29" spans="1:18" ht="28" outlineLevel="2" x14ac:dyDescent="0.15">
      <c r="A29" s="74" t="s">
        <v>30</v>
      </c>
      <c r="B29" s="75">
        <v>75</v>
      </c>
      <c r="C29" s="76">
        <v>7950</v>
      </c>
      <c r="D29" s="76">
        <v>8450</v>
      </c>
      <c r="E29" s="76">
        <f>8450*1.1</f>
        <v>9295</v>
      </c>
      <c r="F29" s="76">
        <v>331611.74</v>
      </c>
      <c r="G29" s="76">
        <v>276343.08</v>
      </c>
      <c r="H29" s="77">
        <f t="shared" si="0"/>
        <v>4421.4898666666668</v>
      </c>
      <c r="I29" s="97">
        <f t="shared" si="1"/>
        <v>4699.5709903563948</v>
      </c>
      <c r="J29" s="97">
        <f t="shared" si="2"/>
        <v>5494.6556421839859</v>
      </c>
      <c r="K29" s="103">
        <v>2939.6</v>
      </c>
      <c r="L29" s="52">
        <f t="shared" si="3"/>
        <v>220470</v>
      </c>
      <c r="M29" s="104">
        <f t="shared" si="4"/>
        <v>2747.2897196261679</v>
      </c>
      <c r="N29" s="78">
        <f t="shared" si="7"/>
        <v>60.940065224293583</v>
      </c>
      <c r="O29" s="78">
        <f t="shared" si="8"/>
        <v>100.00277374938311</v>
      </c>
      <c r="P29" s="79"/>
      <c r="Q29" s="68">
        <f t="shared" si="5"/>
        <v>206046.72897196258</v>
      </c>
      <c r="R29" s="11">
        <f t="shared" si="6"/>
        <v>412099.17316379893</v>
      </c>
    </row>
    <row r="30" spans="1:18" ht="28" outlineLevel="2" x14ac:dyDescent="0.15">
      <c r="A30" s="74" t="s">
        <v>31</v>
      </c>
      <c r="B30" s="75">
        <v>62</v>
      </c>
      <c r="C30" s="76">
        <v>6680</v>
      </c>
      <c r="D30" s="76">
        <v>7160</v>
      </c>
      <c r="E30" s="76">
        <f>7160*1.1</f>
        <v>7876.0000000000009</v>
      </c>
      <c r="F30" s="76">
        <v>253993.62</v>
      </c>
      <c r="G30" s="76">
        <v>211661.34</v>
      </c>
      <c r="H30" s="77">
        <f t="shared" si="0"/>
        <v>4096.6712903225807</v>
      </c>
      <c r="I30" s="97">
        <f t="shared" si="1"/>
        <v>4391.0428800463587</v>
      </c>
      <c r="J30" s="97">
        <f t="shared" si="2"/>
        <v>5177.2236112642404</v>
      </c>
      <c r="K30" s="103">
        <v>2454.98</v>
      </c>
      <c r="L30" s="52">
        <f t="shared" si="3"/>
        <v>152208.76</v>
      </c>
      <c r="M30" s="104">
        <f t="shared" si="4"/>
        <v>2294.3738317757006</v>
      </c>
      <c r="N30" s="78">
        <f t="shared" si="7"/>
        <v>78.552912066296329</v>
      </c>
      <c r="O30" s="78">
        <f t="shared" si="8"/>
        <v>125.64865147792399</v>
      </c>
      <c r="P30" s="79"/>
      <c r="Q30" s="68">
        <f t="shared" si="5"/>
        <v>142251.17757009345</v>
      </c>
      <c r="R30" s="11">
        <f t="shared" si="6"/>
        <v>320987.86389838293</v>
      </c>
    </row>
    <row r="31" spans="1:18" ht="28" outlineLevel="2" x14ac:dyDescent="0.15">
      <c r="A31" s="74" t="s">
        <v>32</v>
      </c>
      <c r="B31" s="75">
        <v>8</v>
      </c>
      <c r="C31" s="76">
        <v>7420</v>
      </c>
      <c r="D31" s="76">
        <v>7800</v>
      </c>
      <c r="E31" s="76">
        <f>7800*1.1</f>
        <v>8580</v>
      </c>
      <c r="F31" s="76">
        <v>33752.92</v>
      </c>
      <c r="G31" s="76">
        <v>28127.43</v>
      </c>
      <c r="H31" s="77">
        <f t="shared" si="0"/>
        <v>4219.1149999999998</v>
      </c>
      <c r="I31" s="97">
        <f t="shared" si="1"/>
        <v>4435.1882749326141</v>
      </c>
      <c r="J31" s="97">
        <f t="shared" si="2"/>
        <v>5128.560026808872</v>
      </c>
      <c r="K31" s="103">
        <v>2680.27</v>
      </c>
      <c r="L31" s="52">
        <f t="shared" si="3"/>
        <v>21442.16</v>
      </c>
      <c r="M31" s="104">
        <f t="shared" si="4"/>
        <v>2504.9252336448599</v>
      </c>
      <c r="N31" s="78">
        <f t="shared" si="7"/>
        <v>68.432771698373656</v>
      </c>
      <c r="O31" s="78">
        <f t="shared" si="8"/>
        <v>104.73904601721067</v>
      </c>
      <c r="P31" s="79"/>
      <c r="Q31" s="68">
        <f t="shared" si="5"/>
        <v>20039.401869158879</v>
      </c>
      <c r="R31" s="11">
        <f t="shared" si="6"/>
        <v>41028.480214470976</v>
      </c>
    </row>
    <row r="32" spans="1:18" ht="28" outlineLevel="2" x14ac:dyDescent="0.15">
      <c r="A32" s="74" t="s">
        <v>33</v>
      </c>
      <c r="B32" s="75">
        <v>6</v>
      </c>
      <c r="C32" s="76">
        <v>7690</v>
      </c>
      <c r="D32" s="76">
        <v>8100</v>
      </c>
      <c r="E32" s="76">
        <f>8100*1.1</f>
        <v>8910</v>
      </c>
      <c r="F32" s="76">
        <v>27860.23</v>
      </c>
      <c r="G32" s="76">
        <v>23216.87</v>
      </c>
      <c r="H32" s="77">
        <f t="shared" si="0"/>
        <v>4643.3716666666669</v>
      </c>
      <c r="I32" s="97">
        <f t="shared" si="1"/>
        <v>4890.9376462938881</v>
      </c>
      <c r="J32" s="97">
        <f t="shared" si="2"/>
        <v>5666.8731376435044</v>
      </c>
      <c r="K32" s="103">
        <v>2908.61</v>
      </c>
      <c r="L32" s="52">
        <f t="shared" si="3"/>
        <v>17451.66</v>
      </c>
      <c r="M32" s="104">
        <f t="shared" si="4"/>
        <v>2718.3271028037384</v>
      </c>
      <c r="N32" s="78">
        <f t="shared" si="7"/>
        <v>70.817252341611066</v>
      </c>
      <c r="O32" s="78">
        <f t="shared" si="8"/>
        <v>108.46914014868099</v>
      </c>
      <c r="P32" s="79"/>
      <c r="Q32" s="68">
        <f t="shared" si="5"/>
        <v>16309.962616822431</v>
      </c>
      <c r="R32" s="11">
        <f t="shared" si="6"/>
        <v>34001.23882586103</v>
      </c>
    </row>
    <row r="33" spans="1:18" outlineLevel="2" x14ac:dyDescent="0.15">
      <c r="A33" s="74" t="s">
        <v>34</v>
      </c>
      <c r="B33" s="75">
        <v>7</v>
      </c>
      <c r="C33" s="76">
        <v>21740</v>
      </c>
      <c r="D33" s="76">
        <v>24600</v>
      </c>
      <c r="E33" s="76">
        <f>24600*1.1</f>
        <v>27060.000000000004</v>
      </c>
      <c r="F33" s="76">
        <v>92714.72</v>
      </c>
      <c r="G33" s="76">
        <v>77262.27</v>
      </c>
      <c r="H33" s="77">
        <f t="shared" si="0"/>
        <v>13244.960000000001</v>
      </c>
      <c r="I33" s="97">
        <f t="shared" si="1"/>
        <v>14987.397240110398</v>
      </c>
      <c r="J33" s="97">
        <f t="shared" si="2"/>
        <v>18654.966389944224</v>
      </c>
      <c r="K33" s="103">
        <v>9734</v>
      </c>
      <c r="L33" s="52">
        <f t="shared" si="3"/>
        <v>68138</v>
      </c>
      <c r="M33" s="104">
        <f t="shared" si="4"/>
        <v>9097.196261682242</v>
      </c>
      <c r="N33" s="78">
        <f t="shared" si="7"/>
        <v>45.593868913088166</v>
      </c>
      <c r="O33" s="78">
        <f t="shared" si="8"/>
        <v>105.06281114896572</v>
      </c>
      <c r="P33" s="79"/>
      <c r="Q33" s="68">
        <f t="shared" si="5"/>
        <v>63680.373831775694</v>
      </c>
      <c r="R33" s="11">
        <f t="shared" si="6"/>
        <v>130584.76472960957</v>
      </c>
    </row>
    <row r="34" spans="1:18" outlineLevel="2" x14ac:dyDescent="0.15">
      <c r="A34" s="81" t="s">
        <v>35</v>
      </c>
      <c r="B34" s="82">
        <v>2</v>
      </c>
      <c r="C34" s="83">
        <v>23300</v>
      </c>
      <c r="D34" s="83">
        <v>26300</v>
      </c>
      <c r="E34" s="83">
        <f>26300*1.1</f>
        <v>28930.000000000004</v>
      </c>
      <c r="F34" s="83">
        <v>26381.71</v>
      </c>
      <c r="G34" s="83">
        <v>21984.76</v>
      </c>
      <c r="H34" s="77">
        <f t="shared" si="0"/>
        <v>13190.855</v>
      </c>
      <c r="I34" s="97">
        <f t="shared" si="1"/>
        <v>14889.248347639485</v>
      </c>
      <c r="J34" s="97">
        <f t="shared" si="2"/>
        <v>18486.950845373834</v>
      </c>
      <c r="K34" s="105">
        <v>10727</v>
      </c>
      <c r="L34" s="52">
        <f t="shared" si="3"/>
        <v>21454</v>
      </c>
      <c r="M34" s="104">
        <f t="shared" si="4"/>
        <v>10025.233644859813</v>
      </c>
      <c r="N34" s="78">
        <f t="shared" si="7"/>
        <v>31.576534445791005</v>
      </c>
      <c r="O34" s="78">
        <f t="shared" si="8"/>
        <v>84.404189470961157</v>
      </c>
      <c r="P34" s="79"/>
      <c r="Q34" s="68">
        <f t="shared" si="5"/>
        <v>20050.467289719625</v>
      </c>
      <c r="R34" s="11">
        <f t="shared" si="6"/>
        <v>36973.901690747669</v>
      </c>
    </row>
    <row r="35" spans="1:18" x14ac:dyDescent="0.15">
      <c r="A35" s="84" t="s">
        <v>36</v>
      </c>
      <c r="B35" s="85">
        <v>831</v>
      </c>
      <c r="C35" s="86">
        <f>(B10*C10)+(B11*C11)+B12*C12+B13*C13+B14*C14+B15*C15+B16*C16+B17*C17+B18*C18+B19*C19+B20*C20+B21*C21+B22*C22+B23*C23+B24*C24+B25*C25+B26*C26+B27*C27+B28*C28+B29*C29+B30*C30+B31*C31+B32*C32+B33*C33+B34*C34</f>
        <v>4364140</v>
      </c>
      <c r="D35" s="86">
        <f>(B10*D10)+(B11*D11)+B12*D12+B13*D13+B14*D14+B15*D15+B16*D16+B17*D17+B18*D18+B19*D19+B20*D20+B21*D21+B22*D22+B23*D23+B24*D24+B25*D25+B26*D26+B27*D27+B28*D28+B29*D29+B30*D30+B31*D31+B32*D32+B33*D33+B34*D34</f>
        <v>4668250</v>
      </c>
      <c r="E35" s="86">
        <f>(B10*E10)+(B11*E11)+B12*E12+B13*E13+B14*E14+B15*E15+B16*E16+B17*E17+B18*E18+B19*E19+B20*E20+B21*E21+B22*E22+B23*E23+B24*E24+B25*E25+B26*E26+B27*E27+B28*E28+B29*E29+B30*E30+B31*E31+B32*E32+B33*E33+B34*E34</f>
        <v>5269894</v>
      </c>
      <c r="F35" s="86">
        <v>2215020.23</v>
      </c>
      <c r="G35" s="86">
        <v>1845849.75</v>
      </c>
      <c r="H35" s="87"/>
      <c r="I35" s="87"/>
      <c r="J35" s="87"/>
      <c r="K35" s="88"/>
      <c r="L35" s="86">
        <f>SUM(L10:L34)</f>
        <v>1444210.5299999996</v>
      </c>
      <c r="M35" s="86"/>
      <c r="N35" s="89"/>
      <c r="O35" s="89"/>
      <c r="P35" s="90">
        <f>SUM(P10:P34)</f>
        <v>10</v>
      </c>
      <c r="Q35" s="68">
        <f>SUM(Q10:Q34)</f>
        <v>1349729.4672897197</v>
      </c>
      <c r="R35" s="68">
        <f>SUM(R10:R34)</f>
        <v>2852140.8271139464</v>
      </c>
    </row>
    <row r="36" spans="1:18" ht="36" customHeight="1" x14ac:dyDescent="0.15">
      <c r="B36" s="91"/>
      <c r="C36" s="91"/>
      <c r="D36" s="91"/>
      <c r="E36" s="91"/>
      <c r="F36" s="54"/>
      <c r="G36" s="54"/>
      <c r="M36" s="93"/>
    </row>
    <row r="37" spans="1:18" ht="25.5" customHeight="1" x14ac:dyDescent="0.15">
      <c r="A37" s="92"/>
      <c r="B37" s="111" t="s">
        <v>85</v>
      </c>
      <c r="C37" s="112"/>
      <c r="D37" s="52" t="s">
        <v>86</v>
      </c>
      <c r="E37" s="93"/>
      <c r="F37" s="93"/>
      <c r="G37" s="93"/>
      <c r="L37" s="106"/>
      <c r="M37" s="93"/>
      <c r="Q37" s="57">
        <f>F35-B39</f>
        <v>1164476.23</v>
      </c>
      <c r="R37" s="57">
        <f>R35-B39</f>
        <v>1801596.8271139464</v>
      </c>
    </row>
    <row r="38" spans="1:18" x14ac:dyDescent="0.15">
      <c r="A38" s="92" t="s">
        <v>78</v>
      </c>
      <c r="B38" s="113">
        <v>2215020.23</v>
      </c>
      <c r="C38" s="114"/>
      <c r="D38" s="86">
        <v>1845849.75</v>
      </c>
      <c r="E38" s="98"/>
      <c r="Q38" s="57">
        <f>Q37-Q35</f>
        <v>-185253.23728971975</v>
      </c>
      <c r="R38" s="57">
        <f>R37-Q35</f>
        <v>451867.3598242267</v>
      </c>
    </row>
    <row r="39" spans="1:18" ht="28" x14ac:dyDescent="0.15">
      <c r="A39" s="94" t="s">
        <v>81</v>
      </c>
      <c r="B39" s="126">
        <v>1050544</v>
      </c>
      <c r="C39" s="127"/>
      <c r="D39" s="95">
        <v>881615.66</v>
      </c>
      <c r="E39" s="99"/>
    </row>
    <row r="40" spans="1:18" x14ac:dyDescent="0.15">
      <c r="A40" s="92" t="s">
        <v>80</v>
      </c>
      <c r="B40" s="92"/>
      <c r="C40" s="52"/>
      <c r="D40" s="52">
        <f>D38-D39</f>
        <v>964234.09</v>
      </c>
      <c r="E40" s="93"/>
    </row>
    <row r="41" spans="1:18" x14ac:dyDescent="0.15">
      <c r="A41" s="92" t="s">
        <v>82</v>
      </c>
      <c r="B41" s="92"/>
      <c r="C41" s="52"/>
      <c r="D41" s="52"/>
      <c r="E41" s="93"/>
    </row>
    <row r="42" spans="1:18" x14ac:dyDescent="0.15">
      <c r="A42" s="92" t="s">
        <v>83</v>
      </c>
      <c r="B42" s="92"/>
      <c r="C42" s="52"/>
      <c r="D42" s="52"/>
      <c r="E42" s="93"/>
    </row>
    <row r="43" spans="1:18" x14ac:dyDescent="0.15">
      <c r="A43" s="92" t="s">
        <v>89</v>
      </c>
      <c r="B43" s="92"/>
      <c r="C43" s="52"/>
      <c r="D43" s="52"/>
      <c r="E43" s="93"/>
    </row>
    <row r="44" spans="1:18" x14ac:dyDescent="0.15">
      <c r="A44" s="96" t="s">
        <v>90</v>
      </c>
      <c r="B44" s="93"/>
      <c r="C44" s="93"/>
      <c r="D44" s="93"/>
      <c r="E44" s="93"/>
    </row>
  </sheetData>
  <mergeCells count="19">
    <mergeCell ref="B39:C39"/>
    <mergeCell ref="M5:M7"/>
    <mergeCell ref="P5:P7"/>
    <mergeCell ref="K5:K7"/>
    <mergeCell ref="L5:L7"/>
    <mergeCell ref="B38:C38"/>
    <mergeCell ref="E5:E7"/>
    <mergeCell ref="I5:I7"/>
    <mergeCell ref="J5:J7"/>
    <mergeCell ref="O5:O8"/>
    <mergeCell ref="B5:B7"/>
    <mergeCell ref="F5:F7"/>
    <mergeCell ref="G5:G7"/>
    <mergeCell ref="H5:H7"/>
    <mergeCell ref="Q5:Q7"/>
    <mergeCell ref="N5:N8"/>
    <mergeCell ref="D5:D7"/>
    <mergeCell ref="C5:C7"/>
    <mergeCell ref="B37:C37"/>
  </mergeCells>
  <pageMargins left="0.39370078740157483" right="0" top="0.39370078740157483" bottom="0.39370078740157483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opLeftCell="A7" workbookViewId="0">
      <selection activeCell="Q38" sqref="Q38"/>
    </sheetView>
  </sheetViews>
  <sheetFormatPr baseColWidth="10" defaultColWidth="10.75" defaultRowHeight="11" outlineLevelRow="2" x14ac:dyDescent="0.15"/>
  <cols>
    <col min="1" max="1" width="38.5" customWidth="1"/>
    <col min="2" max="2" width="13.75" customWidth="1"/>
    <col min="3" max="3" width="18.75" customWidth="1"/>
    <col min="4" max="4" width="17.75" hidden="1" customWidth="1"/>
    <col min="5" max="5" width="15" hidden="1" customWidth="1"/>
    <col min="6" max="6" width="10.75" hidden="1" customWidth="1"/>
    <col min="7" max="7" width="11.25" style="11" hidden="1" customWidth="1"/>
    <col min="8" max="8" width="18" style="11" customWidth="1"/>
    <col min="9" max="9" width="16.75" customWidth="1"/>
    <col min="10" max="10" width="16.25" customWidth="1"/>
    <col min="11" max="11" width="5.75" customWidth="1"/>
    <col min="12" max="12" width="17.5" customWidth="1"/>
    <col min="13" max="13" width="17.25" customWidth="1"/>
  </cols>
  <sheetData>
    <row r="1" spans="1:13" ht="10" customHeight="1" collapsed="1" x14ac:dyDescent="0.15">
      <c r="B1" t="s">
        <v>38</v>
      </c>
    </row>
    <row r="2" spans="1:13" ht="12.75" hidden="1" customHeight="1" outlineLevel="1" x14ac:dyDescent="0.15">
      <c r="A2" s="1" t="s">
        <v>0</v>
      </c>
      <c r="B2" s="1" t="s">
        <v>1</v>
      </c>
      <c r="C2" s="1"/>
      <c r="D2" s="1"/>
    </row>
    <row r="3" spans="1:13" ht="51" hidden="1" customHeight="1" outlineLevel="1" x14ac:dyDescent="0.15">
      <c r="A3" s="1" t="s">
        <v>2</v>
      </c>
      <c r="B3" s="154" t="s">
        <v>3</v>
      </c>
      <c r="C3" s="154"/>
    </row>
    <row r="4" spans="1:13" ht="10" customHeight="1" collapsed="1" x14ac:dyDescent="0.15">
      <c r="A4" t="s">
        <v>67</v>
      </c>
      <c r="L4" s="150" t="s">
        <v>88</v>
      </c>
      <c r="M4" s="151"/>
    </row>
    <row r="5" spans="1:13" ht="12.75" customHeight="1" x14ac:dyDescent="0.15">
      <c r="A5" s="143" t="s">
        <v>4</v>
      </c>
      <c r="B5" s="143"/>
      <c r="C5" s="155" t="s">
        <v>5</v>
      </c>
      <c r="D5" s="155" t="s">
        <v>71</v>
      </c>
      <c r="E5" s="155" t="s">
        <v>6</v>
      </c>
      <c r="F5" s="140" t="s">
        <v>63</v>
      </c>
      <c r="G5" s="140" t="s">
        <v>65</v>
      </c>
      <c r="H5" s="140" t="s">
        <v>66</v>
      </c>
      <c r="I5" s="147" t="s">
        <v>87</v>
      </c>
      <c r="J5" s="140" t="s">
        <v>68</v>
      </c>
      <c r="L5" s="147" t="s">
        <v>79</v>
      </c>
      <c r="M5" s="147" t="s">
        <v>84</v>
      </c>
    </row>
    <row r="6" spans="1:13" ht="12.75" customHeight="1" x14ac:dyDescent="0.15">
      <c r="A6" s="143" t="s">
        <v>7</v>
      </c>
      <c r="B6" s="143"/>
      <c r="C6" s="148"/>
      <c r="D6" s="145"/>
      <c r="E6" s="148"/>
      <c r="F6" s="145"/>
      <c r="G6" s="145"/>
      <c r="H6" s="145"/>
      <c r="I6" s="152"/>
      <c r="J6" s="141"/>
      <c r="L6" s="148"/>
      <c r="M6" s="148"/>
    </row>
    <row r="7" spans="1:13" ht="46.5" customHeight="1" x14ac:dyDescent="0.15">
      <c r="A7" s="143" t="s">
        <v>8</v>
      </c>
      <c r="B7" s="143"/>
      <c r="C7" s="149"/>
      <c r="D7" s="146"/>
      <c r="E7" s="149"/>
      <c r="F7" s="146"/>
      <c r="G7" s="146"/>
      <c r="H7" s="146"/>
      <c r="I7" s="153"/>
      <c r="J7" s="142"/>
      <c r="L7" s="149"/>
      <c r="M7" s="149"/>
    </row>
    <row r="8" spans="1:13" ht="11.25" customHeight="1" x14ac:dyDescent="0.15">
      <c r="A8" s="144" t="s">
        <v>9</v>
      </c>
      <c r="B8" s="144"/>
      <c r="C8" s="2"/>
      <c r="D8" s="3"/>
      <c r="E8" s="3"/>
      <c r="F8" s="12"/>
      <c r="G8" s="2"/>
      <c r="H8" s="3"/>
      <c r="I8" s="12"/>
      <c r="J8" s="12"/>
      <c r="L8" s="2"/>
      <c r="M8" s="2"/>
    </row>
    <row r="9" spans="1:13" ht="11.25" customHeight="1" outlineLevel="1" x14ac:dyDescent="0.15">
      <c r="A9" s="139" t="s">
        <v>10</v>
      </c>
      <c r="B9" s="139"/>
      <c r="C9" s="4"/>
      <c r="D9" s="5"/>
      <c r="E9" s="5"/>
      <c r="F9" s="13"/>
      <c r="G9" s="4"/>
      <c r="H9" s="5"/>
      <c r="I9" s="24"/>
      <c r="J9" s="24"/>
      <c r="L9" s="40"/>
      <c r="M9" s="40"/>
    </row>
    <row r="10" spans="1:13" ht="11.25" customHeight="1" outlineLevel="2" x14ac:dyDescent="0.15">
      <c r="A10" s="21" t="s">
        <v>11</v>
      </c>
      <c r="B10" s="22" t="s">
        <v>37</v>
      </c>
      <c r="C10" s="6">
        <v>37</v>
      </c>
      <c r="D10" s="7">
        <v>50309.97</v>
      </c>
      <c r="E10" s="7">
        <v>41924.94</v>
      </c>
      <c r="F10" s="14">
        <v>1359.73</v>
      </c>
      <c r="G10" s="17">
        <v>2540</v>
      </c>
      <c r="H10" s="17">
        <f>G10-G10*0.37</f>
        <v>1600.2</v>
      </c>
      <c r="I10" s="17">
        <v>371.4</v>
      </c>
      <c r="J10" s="17">
        <f t="shared" ref="J10:J34" si="0">I10*C10</f>
        <v>13741.8</v>
      </c>
      <c r="L10" s="35"/>
      <c r="M10" s="35"/>
    </row>
    <row r="11" spans="1:13" ht="11.25" customHeight="1" outlineLevel="2" x14ac:dyDescent="0.15">
      <c r="A11" s="21" t="s">
        <v>12</v>
      </c>
      <c r="B11" s="22" t="s">
        <v>39</v>
      </c>
      <c r="C11" s="6">
        <v>8</v>
      </c>
      <c r="D11" s="7">
        <v>17489.55</v>
      </c>
      <c r="E11" s="7">
        <v>14574.62</v>
      </c>
      <c r="F11" s="14">
        <v>2186.19</v>
      </c>
      <c r="G11" s="17">
        <v>4449</v>
      </c>
      <c r="H11" s="17">
        <f t="shared" ref="H11:H34" si="1">G11-G11*0.37</f>
        <v>2802.87</v>
      </c>
      <c r="I11" s="17">
        <v>1016.21</v>
      </c>
      <c r="J11" s="17">
        <f t="shared" si="0"/>
        <v>8129.68</v>
      </c>
      <c r="L11" s="35"/>
      <c r="M11" s="35"/>
    </row>
    <row r="12" spans="1:13" ht="11.25" customHeight="1" outlineLevel="2" x14ac:dyDescent="0.15">
      <c r="A12" s="21" t="s">
        <v>13</v>
      </c>
      <c r="B12" s="22" t="s">
        <v>40</v>
      </c>
      <c r="C12" s="6">
        <v>48</v>
      </c>
      <c r="D12" s="7">
        <v>33733.21</v>
      </c>
      <c r="E12" s="7">
        <v>28110.99</v>
      </c>
      <c r="F12" s="15">
        <v>702.78</v>
      </c>
      <c r="G12" s="17">
        <v>1968</v>
      </c>
      <c r="H12" s="17">
        <f t="shared" si="1"/>
        <v>1239.8400000000001</v>
      </c>
      <c r="I12" s="17">
        <v>210.6</v>
      </c>
      <c r="J12" s="17">
        <f t="shared" si="0"/>
        <v>10108.799999999999</v>
      </c>
      <c r="L12" s="35"/>
      <c r="M12" s="35"/>
    </row>
    <row r="13" spans="1:13" ht="11.25" customHeight="1" outlineLevel="2" x14ac:dyDescent="0.15">
      <c r="A13" s="21" t="s">
        <v>14</v>
      </c>
      <c r="B13" s="22" t="s">
        <v>41</v>
      </c>
      <c r="C13" s="6">
        <v>1</v>
      </c>
      <c r="D13" s="7">
        <v>1335.24</v>
      </c>
      <c r="E13" s="8">
        <v>1112.7</v>
      </c>
      <c r="F13" s="14">
        <v>1335.24</v>
      </c>
      <c r="G13" s="17">
        <v>3000</v>
      </c>
      <c r="H13" s="17">
        <f t="shared" si="1"/>
        <v>1890</v>
      </c>
      <c r="I13" s="17">
        <v>470.58</v>
      </c>
      <c r="J13" s="17">
        <f t="shared" si="0"/>
        <v>470.58</v>
      </c>
      <c r="L13" s="35"/>
      <c r="M13" s="35"/>
    </row>
    <row r="14" spans="1:13" ht="11.25" customHeight="1" outlineLevel="2" x14ac:dyDescent="0.15">
      <c r="A14" s="21" t="s">
        <v>15</v>
      </c>
      <c r="B14" s="22" t="s">
        <v>42</v>
      </c>
      <c r="C14" s="6">
        <v>29</v>
      </c>
      <c r="D14" s="7">
        <v>32260.34</v>
      </c>
      <c r="E14" s="7">
        <v>26883.61</v>
      </c>
      <c r="F14" s="14">
        <v>1112.43</v>
      </c>
      <c r="G14" s="17">
        <v>3540</v>
      </c>
      <c r="H14" s="17">
        <f t="shared" si="1"/>
        <v>2230.1999999999998</v>
      </c>
      <c r="I14" s="17">
        <v>560.5</v>
      </c>
      <c r="J14" s="17">
        <f t="shared" si="0"/>
        <v>16254.5</v>
      </c>
      <c r="L14" s="35"/>
      <c r="M14" s="35"/>
    </row>
    <row r="15" spans="1:13" ht="11.25" customHeight="1" outlineLevel="2" x14ac:dyDescent="0.15">
      <c r="A15" s="21" t="s">
        <v>16</v>
      </c>
      <c r="B15" s="22" t="s">
        <v>43</v>
      </c>
      <c r="C15" s="6">
        <v>146</v>
      </c>
      <c r="D15" s="7">
        <v>218919.43</v>
      </c>
      <c r="E15" s="7">
        <v>182432.87</v>
      </c>
      <c r="F15" s="14">
        <v>1499.45</v>
      </c>
      <c r="G15" s="17">
        <v>2916</v>
      </c>
      <c r="H15" s="17">
        <f t="shared" si="1"/>
        <v>1837.08</v>
      </c>
      <c r="I15" s="17">
        <v>590.16</v>
      </c>
      <c r="J15" s="17">
        <f t="shared" si="0"/>
        <v>86163.36</v>
      </c>
      <c r="L15" s="35"/>
      <c r="M15" s="35"/>
    </row>
    <row r="16" spans="1:13" ht="11.25" customHeight="1" outlineLevel="2" x14ac:dyDescent="0.15">
      <c r="A16" s="21" t="s">
        <v>17</v>
      </c>
      <c r="B16" s="22" t="s">
        <v>44</v>
      </c>
      <c r="C16" s="6">
        <v>68</v>
      </c>
      <c r="D16" s="7">
        <v>138051.18</v>
      </c>
      <c r="E16" s="8">
        <v>115042.5</v>
      </c>
      <c r="F16" s="14">
        <v>2030.16</v>
      </c>
      <c r="G16" s="17">
        <v>3333</v>
      </c>
      <c r="H16" s="17">
        <f t="shared" si="1"/>
        <v>2099.79</v>
      </c>
      <c r="I16" s="17">
        <v>713.27</v>
      </c>
      <c r="J16" s="17">
        <f t="shared" si="0"/>
        <v>48502.36</v>
      </c>
      <c r="L16" s="35">
        <v>1</v>
      </c>
      <c r="M16" s="35">
        <f>I16*L16</f>
        <v>713.27</v>
      </c>
    </row>
    <row r="17" spans="1:13" ht="11.25" customHeight="1" outlineLevel="2" x14ac:dyDescent="0.15">
      <c r="A17" s="21" t="s">
        <v>18</v>
      </c>
      <c r="B17" s="22" t="s">
        <v>45</v>
      </c>
      <c r="C17" s="6">
        <v>62</v>
      </c>
      <c r="D17" s="7">
        <v>147515.94</v>
      </c>
      <c r="E17" s="7">
        <v>122929.88</v>
      </c>
      <c r="F17" s="14">
        <v>2379.29</v>
      </c>
      <c r="G17" s="17">
        <v>3730</v>
      </c>
      <c r="H17" s="17">
        <f t="shared" si="1"/>
        <v>2349.9</v>
      </c>
      <c r="I17" s="17">
        <v>835.62</v>
      </c>
      <c r="J17" s="17">
        <f t="shared" si="0"/>
        <v>51808.44</v>
      </c>
      <c r="L17" s="35">
        <v>2</v>
      </c>
      <c r="M17" s="35">
        <f>I17*L17</f>
        <v>1671.24</v>
      </c>
    </row>
    <row r="18" spans="1:13" ht="11.25" customHeight="1" outlineLevel="2" x14ac:dyDescent="0.15">
      <c r="A18" s="21" t="s">
        <v>19</v>
      </c>
      <c r="B18" s="22" t="s">
        <v>46</v>
      </c>
      <c r="C18" s="6">
        <v>92</v>
      </c>
      <c r="D18" s="7">
        <v>216361.01</v>
      </c>
      <c r="E18" s="7">
        <v>180300.83</v>
      </c>
      <c r="F18" s="14">
        <v>2351.75</v>
      </c>
      <c r="G18" s="17">
        <v>4667</v>
      </c>
      <c r="H18" s="17">
        <f t="shared" si="1"/>
        <v>2940.21</v>
      </c>
      <c r="I18" s="17">
        <v>1081.96</v>
      </c>
      <c r="J18" s="17">
        <f t="shared" si="0"/>
        <v>99540.32</v>
      </c>
      <c r="L18" s="35"/>
      <c r="M18" s="35"/>
    </row>
    <row r="19" spans="1:13" ht="11.25" customHeight="1" outlineLevel="2" x14ac:dyDescent="0.15">
      <c r="A19" s="21" t="s">
        <v>20</v>
      </c>
      <c r="B19" s="22" t="s">
        <v>47</v>
      </c>
      <c r="C19" s="6">
        <v>17</v>
      </c>
      <c r="D19" s="7">
        <v>33020.58</v>
      </c>
      <c r="E19" s="7">
        <v>27517.16</v>
      </c>
      <c r="F19" s="14">
        <v>1942.39</v>
      </c>
      <c r="G19" s="17">
        <v>4637</v>
      </c>
      <c r="H19" s="17">
        <f t="shared" si="1"/>
        <v>2921.31</v>
      </c>
      <c r="I19" s="17">
        <v>1351.23</v>
      </c>
      <c r="J19" s="17">
        <f t="shared" si="0"/>
        <v>22970.91</v>
      </c>
      <c r="L19" s="35"/>
      <c r="M19" s="35"/>
    </row>
    <row r="20" spans="1:13" ht="11.25" customHeight="1" outlineLevel="2" x14ac:dyDescent="0.15">
      <c r="A20" s="21" t="s">
        <v>21</v>
      </c>
      <c r="B20" s="22" t="s">
        <v>48</v>
      </c>
      <c r="C20" s="6">
        <v>1</v>
      </c>
      <c r="D20" s="7">
        <v>3183.18</v>
      </c>
      <c r="E20" s="7">
        <v>2652.65</v>
      </c>
      <c r="F20" s="14">
        <v>3183.18</v>
      </c>
      <c r="G20" s="17">
        <v>6754</v>
      </c>
      <c r="H20" s="17">
        <f t="shared" si="1"/>
        <v>4255.0200000000004</v>
      </c>
      <c r="I20" s="17">
        <v>1717.86</v>
      </c>
      <c r="J20" s="17">
        <f t="shared" si="0"/>
        <v>1717.86</v>
      </c>
      <c r="L20" s="35"/>
      <c r="M20" s="35"/>
    </row>
    <row r="21" spans="1:13" ht="11.25" customHeight="1" outlineLevel="2" x14ac:dyDescent="0.15">
      <c r="A21" s="21" t="s">
        <v>22</v>
      </c>
      <c r="B21" s="22" t="s">
        <v>49</v>
      </c>
      <c r="C21" s="6">
        <v>23</v>
      </c>
      <c r="D21" s="7">
        <v>68794.59</v>
      </c>
      <c r="E21" s="7">
        <v>57328.82</v>
      </c>
      <c r="F21" s="14">
        <v>2991.07</v>
      </c>
      <c r="G21" s="17">
        <v>5947</v>
      </c>
      <c r="H21" s="17">
        <f t="shared" si="1"/>
        <v>3746.61</v>
      </c>
      <c r="I21" s="17">
        <v>1709.59</v>
      </c>
      <c r="J21" s="17">
        <f t="shared" si="0"/>
        <v>39320.57</v>
      </c>
      <c r="L21" s="35">
        <v>1</v>
      </c>
      <c r="M21" s="35">
        <f>I21*L21</f>
        <v>1709.59</v>
      </c>
    </row>
    <row r="22" spans="1:13" ht="11.25" customHeight="1" outlineLevel="2" x14ac:dyDescent="0.15">
      <c r="A22" s="21" t="s">
        <v>23</v>
      </c>
      <c r="B22" s="22" t="s">
        <v>50</v>
      </c>
      <c r="C22" s="6">
        <v>11</v>
      </c>
      <c r="D22" s="7">
        <v>39410.620000000003</v>
      </c>
      <c r="E22" s="8">
        <v>32842.199999999997</v>
      </c>
      <c r="F22" s="14">
        <v>3582.78</v>
      </c>
      <c r="G22" s="17">
        <v>7963</v>
      </c>
      <c r="H22" s="17">
        <f t="shared" si="1"/>
        <v>5016.6900000000005</v>
      </c>
      <c r="I22" s="17">
        <v>2194.17</v>
      </c>
      <c r="J22" s="17">
        <f t="shared" si="0"/>
        <v>24135.870000000003</v>
      </c>
      <c r="L22" s="35"/>
      <c r="M22" s="35"/>
    </row>
    <row r="23" spans="1:13" ht="11.25" customHeight="1" outlineLevel="2" x14ac:dyDescent="0.15">
      <c r="A23" s="21" t="s">
        <v>24</v>
      </c>
      <c r="B23" s="22" t="s">
        <v>51</v>
      </c>
      <c r="C23" s="6">
        <v>17</v>
      </c>
      <c r="D23" s="7">
        <v>58817.25</v>
      </c>
      <c r="E23" s="7">
        <v>49014.36</v>
      </c>
      <c r="F23" s="14">
        <v>3459.84</v>
      </c>
      <c r="G23" s="17">
        <v>7358</v>
      </c>
      <c r="H23" s="17">
        <f t="shared" si="1"/>
        <v>4635.54</v>
      </c>
      <c r="I23" s="17">
        <v>1974.86</v>
      </c>
      <c r="J23" s="17">
        <f t="shared" si="0"/>
        <v>33572.619999999995</v>
      </c>
      <c r="L23" s="35">
        <v>5</v>
      </c>
      <c r="M23" s="35">
        <f>I23*L23</f>
        <v>9874.2999999999993</v>
      </c>
    </row>
    <row r="24" spans="1:13" ht="11.25" customHeight="1" outlineLevel="2" x14ac:dyDescent="0.15">
      <c r="A24" s="21" t="s">
        <v>25</v>
      </c>
      <c r="B24" s="22" t="s">
        <v>52</v>
      </c>
      <c r="C24" s="6">
        <v>12</v>
      </c>
      <c r="D24" s="8">
        <v>37130.699999999997</v>
      </c>
      <c r="E24" s="7">
        <v>30942.25</v>
      </c>
      <c r="F24" s="14">
        <v>3094.23</v>
      </c>
      <c r="G24" s="17">
        <v>6350</v>
      </c>
      <c r="H24" s="17">
        <f t="shared" si="1"/>
        <v>4000.5</v>
      </c>
      <c r="I24" s="17">
        <v>1790.54</v>
      </c>
      <c r="J24" s="17">
        <f t="shared" si="0"/>
        <v>21486.48</v>
      </c>
      <c r="L24" s="35"/>
      <c r="M24" s="35"/>
    </row>
    <row r="25" spans="1:13" ht="11.25" customHeight="1" outlineLevel="2" x14ac:dyDescent="0.15">
      <c r="A25" s="21" t="s">
        <v>26</v>
      </c>
      <c r="B25" s="22" t="s">
        <v>53</v>
      </c>
      <c r="C25" s="6">
        <v>19</v>
      </c>
      <c r="D25" s="7">
        <v>69079.66</v>
      </c>
      <c r="E25" s="7">
        <v>57566.39</v>
      </c>
      <c r="F25" s="14">
        <v>3635.77</v>
      </c>
      <c r="G25" s="17">
        <v>8366</v>
      </c>
      <c r="H25" s="17">
        <f t="shared" si="1"/>
        <v>5270.58</v>
      </c>
      <c r="I25" s="17">
        <v>2256.71</v>
      </c>
      <c r="J25" s="17">
        <f t="shared" si="0"/>
        <v>42877.49</v>
      </c>
      <c r="L25" s="35"/>
      <c r="M25" s="35"/>
    </row>
    <row r="26" spans="1:13" ht="11.25" customHeight="1" outlineLevel="2" x14ac:dyDescent="0.15">
      <c r="A26" s="21" t="s">
        <v>27</v>
      </c>
      <c r="B26" s="22" t="s">
        <v>54</v>
      </c>
      <c r="C26" s="6">
        <v>1</v>
      </c>
      <c r="D26" s="7">
        <v>4778.3100000000004</v>
      </c>
      <c r="E26" s="7">
        <v>3981.92</v>
      </c>
      <c r="F26" s="14">
        <v>4778.3100000000004</v>
      </c>
      <c r="G26" s="17">
        <v>8064</v>
      </c>
      <c r="H26" s="17">
        <f t="shared" si="1"/>
        <v>5080.32</v>
      </c>
      <c r="I26" s="17">
        <v>2143.13</v>
      </c>
      <c r="J26" s="17">
        <f t="shared" si="0"/>
        <v>2143.13</v>
      </c>
      <c r="L26" s="35"/>
      <c r="M26" s="35"/>
    </row>
    <row r="27" spans="1:13" ht="11.25" customHeight="1" outlineLevel="2" x14ac:dyDescent="0.15">
      <c r="A27" s="21" t="s">
        <v>28</v>
      </c>
      <c r="B27" s="22" t="s">
        <v>55</v>
      </c>
      <c r="C27" s="6">
        <v>11</v>
      </c>
      <c r="D27" s="7">
        <v>52208.39</v>
      </c>
      <c r="E27" s="7">
        <v>43506.97</v>
      </c>
      <c r="F27" s="14">
        <v>4746.22</v>
      </c>
      <c r="G27" s="17">
        <v>10181</v>
      </c>
      <c r="H27" s="17">
        <f t="shared" si="1"/>
        <v>6414.0300000000007</v>
      </c>
      <c r="I27" s="17">
        <v>2602.5</v>
      </c>
      <c r="J27" s="17">
        <f t="shared" si="0"/>
        <v>28627.5</v>
      </c>
      <c r="L27" s="35"/>
      <c r="M27" s="35"/>
    </row>
    <row r="28" spans="1:13" ht="24" outlineLevel="2" x14ac:dyDescent="0.15">
      <c r="A28" s="21" t="s">
        <v>29</v>
      </c>
      <c r="B28" s="22" t="s">
        <v>56</v>
      </c>
      <c r="C28" s="6">
        <v>68</v>
      </c>
      <c r="D28" s="7">
        <v>226306.14</v>
      </c>
      <c r="E28" s="7">
        <v>188588.34</v>
      </c>
      <c r="F28" s="14">
        <v>3328.03</v>
      </c>
      <c r="G28" s="17">
        <v>7016</v>
      </c>
      <c r="H28" s="17">
        <f t="shared" si="1"/>
        <v>4420.08</v>
      </c>
      <c r="I28" s="17">
        <v>1740.72</v>
      </c>
      <c r="J28" s="17">
        <f t="shared" si="0"/>
        <v>118368.96000000001</v>
      </c>
      <c r="L28" s="35">
        <v>1</v>
      </c>
      <c r="M28" s="35">
        <f>I28*L28</f>
        <v>1740.72</v>
      </c>
    </row>
    <row r="29" spans="1:13" ht="24" outlineLevel="2" x14ac:dyDescent="0.15">
      <c r="A29" s="21" t="s">
        <v>30</v>
      </c>
      <c r="B29" s="22" t="s">
        <v>57</v>
      </c>
      <c r="C29" s="6">
        <v>75</v>
      </c>
      <c r="D29" s="7">
        <v>331611.74</v>
      </c>
      <c r="E29" s="7">
        <v>276343.08</v>
      </c>
      <c r="F29" s="14">
        <v>4421.49</v>
      </c>
      <c r="G29" s="17">
        <v>8721</v>
      </c>
      <c r="H29" s="17">
        <f t="shared" si="1"/>
        <v>5494.23</v>
      </c>
      <c r="I29" s="17">
        <v>2266.02</v>
      </c>
      <c r="J29" s="17">
        <f t="shared" si="0"/>
        <v>169951.5</v>
      </c>
      <c r="L29" s="35"/>
      <c r="M29" s="35"/>
    </row>
    <row r="30" spans="1:13" ht="24" outlineLevel="2" x14ac:dyDescent="0.15">
      <c r="A30" s="21" t="s">
        <v>31</v>
      </c>
      <c r="B30" s="22" t="s">
        <v>58</v>
      </c>
      <c r="C30" s="6">
        <v>62</v>
      </c>
      <c r="D30" s="7">
        <v>253993.62</v>
      </c>
      <c r="E30" s="7">
        <v>211661.34</v>
      </c>
      <c r="F30" s="14">
        <v>4096.67</v>
      </c>
      <c r="G30" s="17">
        <v>7568</v>
      </c>
      <c r="H30" s="17">
        <f t="shared" si="1"/>
        <v>4767.84</v>
      </c>
      <c r="I30" s="17">
        <v>1878.49</v>
      </c>
      <c r="J30" s="17">
        <f t="shared" si="0"/>
        <v>116466.38</v>
      </c>
      <c r="L30" s="35"/>
      <c r="M30" s="35"/>
    </row>
    <row r="31" spans="1:13" ht="11.25" customHeight="1" outlineLevel="2" x14ac:dyDescent="0.15">
      <c r="A31" s="21" t="s">
        <v>32</v>
      </c>
      <c r="B31" s="22" t="s">
        <v>59</v>
      </c>
      <c r="C31" s="6">
        <v>8</v>
      </c>
      <c r="D31" s="7">
        <v>33752.92</v>
      </c>
      <c r="E31" s="7">
        <v>28127.43</v>
      </c>
      <c r="F31" s="14">
        <v>4219.12</v>
      </c>
      <c r="G31" s="17">
        <v>7459</v>
      </c>
      <c r="H31" s="17">
        <f t="shared" si="1"/>
        <v>4699.17</v>
      </c>
      <c r="I31" s="17">
        <v>1974.12</v>
      </c>
      <c r="J31" s="17">
        <f t="shared" si="0"/>
        <v>15792.96</v>
      </c>
      <c r="L31" s="35"/>
      <c r="M31" s="35"/>
    </row>
    <row r="32" spans="1:13" ht="11.25" customHeight="1" outlineLevel="2" x14ac:dyDescent="0.15">
      <c r="A32" s="21" t="s">
        <v>33</v>
      </c>
      <c r="B32" s="22" t="s">
        <v>60</v>
      </c>
      <c r="C32" s="6">
        <v>6</v>
      </c>
      <c r="D32" s="7">
        <v>27860.23</v>
      </c>
      <c r="E32" s="7">
        <v>23216.87</v>
      </c>
      <c r="F32" s="14">
        <v>4643.37</v>
      </c>
      <c r="G32" s="17">
        <v>9524</v>
      </c>
      <c r="H32" s="17">
        <f t="shared" si="1"/>
        <v>6000.12</v>
      </c>
      <c r="I32" s="17">
        <v>2154.77</v>
      </c>
      <c r="J32" s="17">
        <f t="shared" si="0"/>
        <v>12928.619999999999</v>
      </c>
      <c r="L32" s="35"/>
      <c r="M32" s="35"/>
    </row>
    <row r="33" spans="1:13" ht="11.25" customHeight="1" outlineLevel="2" x14ac:dyDescent="0.15">
      <c r="A33" s="21" t="s">
        <v>34</v>
      </c>
      <c r="B33" s="22" t="s">
        <v>61</v>
      </c>
      <c r="C33" s="6">
        <v>7</v>
      </c>
      <c r="D33" s="7">
        <v>92714.72</v>
      </c>
      <c r="E33" s="7">
        <v>77262.27</v>
      </c>
      <c r="F33" s="14">
        <v>13244.96</v>
      </c>
      <c r="G33" s="17">
        <v>9734</v>
      </c>
      <c r="H33" s="17">
        <f t="shared" si="1"/>
        <v>6132.42</v>
      </c>
      <c r="I33" s="17"/>
      <c r="J33" s="17">
        <f t="shared" si="0"/>
        <v>0</v>
      </c>
      <c r="L33" s="35"/>
      <c r="M33" s="35"/>
    </row>
    <row r="34" spans="1:13" ht="11.25" customHeight="1" outlineLevel="2" x14ac:dyDescent="0.15">
      <c r="A34" s="41" t="s">
        <v>35</v>
      </c>
      <c r="B34" s="42" t="s">
        <v>62</v>
      </c>
      <c r="C34" s="43">
        <v>2</v>
      </c>
      <c r="D34" s="44">
        <v>26381.71</v>
      </c>
      <c r="E34" s="44">
        <v>21984.76</v>
      </c>
      <c r="F34" s="45">
        <v>13190.86</v>
      </c>
      <c r="G34" s="46">
        <v>10727</v>
      </c>
      <c r="H34" s="46">
        <f t="shared" si="1"/>
        <v>6758.01</v>
      </c>
      <c r="I34" s="46"/>
      <c r="J34" s="17">
        <f t="shared" si="0"/>
        <v>0</v>
      </c>
      <c r="L34" s="35"/>
      <c r="M34" s="35"/>
    </row>
    <row r="35" spans="1:13" ht="12.75" customHeight="1" x14ac:dyDescent="0.15">
      <c r="A35" s="138" t="s">
        <v>36</v>
      </c>
      <c r="B35" s="138"/>
      <c r="C35" s="47">
        <v>831</v>
      </c>
      <c r="D35" s="37">
        <v>2215020.23</v>
      </c>
      <c r="E35" s="37">
        <v>1845849.75</v>
      </c>
      <c r="F35" s="37"/>
      <c r="G35" s="47"/>
      <c r="H35" s="47"/>
      <c r="I35" s="48"/>
      <c r="J35" s="48">
        <f>SUM(J10:J34)</f>
        <v>985080.69</v>
      </c>
      <c r="L35" s="47">
        <f>SUM(L10:L34)</f>
        <v>10</v>
      </c>
      <c r="M35" s="47">
        <f>SUM(M10:M34)</f>
        <v>15709.119999999999</v>
      </c>
    </row>
    <row r="36" spans="1:13" ht="36" customHeight="1" x14ac:dyDescent="0.15">
      <c r="C36" s="27"/>
      <c r="D36" s="11"/>
      <c r="E36" s="11"/>
      <c r="H36" s="19"/>
      <c r="J36" s="11"/>
    </row>
    <row r="37" spans="1:13" ht="13" x14ac:dyDescent="0.15">
      <c r="A37" s="35"/>
      <c r="B37" s="36" t="s">
        <v>85</v>
      </c>
      <c r="C37" s="39" t="s">
        <v>86</v>
      </c>
      <c r="D37" s="30"/>
      <c r="E37" s="30"/>
      <c r="H37" s="27"/>
      <c r="I37" s="29"/>
      <c r="J37" s="30"/>
    </row>
    <row r="38" spans="1:13" ht="13" x14ac:dyDescent="0.15">
      <c r="A38" s="35" t="s">
        <v>78</v>
      </c>
      <c r="B38" s="17">
        <v>2215020.23</v>
      </c>
      <c r="C38" s="37">
        <v>1845849.75</v>
      </c>
    </row>
    <row r="39" spans="1:13" ht="24" x14ac:dyDescent="0.15">
      <c r="A39" s="38" t="s">
        <v>81</v>
      </c>
      <c r="B39" s="20">
        <v>1050544</v>
      </c>
      <c r="C39" s="20">
        <v>881615.66</v>
      </c>
    </row>
    <row r="40" spans="1:13" x14ac:dyDescent="0.15">
      <c r="A40" s="35" t="s">
        <v>80</v>
      </c>
      <c r="B40" s="35"/>
      <c r="C40" s="17">
        <f>C38-C39</f>
        <v>964234.09</v>
      </c>
    </row>
    <row r="41" spans="1:13" x14ac:dyDescent="0.15">
      <c r="A41" s="35" t="s">
        <v>82</v>
      </c>
      <c r="B41" s="35"/>
      <c r="C41" s="17">
        <f>J35</f>
        <v>985080.69</v>
      </c>
    </row>
    <row r="42" spans="1:13" x14ac:dyDescent="0.15">
      <c r="A42" s="35" t="s">
        <v>83</v>
      </c>
      <c r="B42" s="35"/>
      <c r="C42" s="17">
        <f>C40-C41</f>
        <v>-20846.599999999977</v>
      </c>
    </row>
    <row r="43" spans="1:13" x14ac:dyDescent="0.15">
      <c r="A43" s="35" t="s">
        <v>89</v>
      </c>
      <c r="B43" s="35"/>
      <c r="C43" s="49">
        <f>-M35</f>
        <v>-15709.119999999999</v>
      </c>
    </row>
    <row r="44" spans="1:13" x14ac:dyDescent="0.15">
      <c r="A44" s="50" t="s">
        <v>90</v>
      </c>
      <c r="C44" s="11">
        <f>C42+C43</f>
        <v>-36555.719999999972</v>
      </c>
    </row>
  </sheetData>
  <mergeCells count="18">
    <mergeCell ref="L5:L7"/>
    <mergeCell ref="M5:M7"/>
    <mergeCell ref="L4:M4"/>
    <mergeCell ref="I5:I7"/>
    <mergeCell ref="B3:C3"/>
    <mergeCell ref="A5:B5"/>
    <mergeCell ref="C5:C7"/>
    <mergeCell ref="D5:D7"/>
    <mergeCell ref="E5:E7"/>
    <mergeCell ref="F5:F7"/>
    <mergeCell ref="A35:B35"/>
    <mergeCell ref="A9:B9"/>
    <mergeCell ref="J5:J7"/>
    <mergeCell ref="A6:B6"/>
    <mergeCell ref="A7:B7"/>
    <mergeCell ref="A8:B8"/>
    <mergeCell ref="G5:G7"/>
    <mergeCell ref="H5:H7"/>
  </mergeCells>
  <pageMargins left="0.39370078740157483" right="0" top="0.39370078740157483" bottom="0.39370078740157483" header="0" footer="0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 fitToPage="1"/>
  </sheetPr>
  <dimension ref="A1:P37"/>
  <sheetViews>
    <sheetView topLeftCell="A31" zoomScale="226" zoomScaleNormal="226" workbookViewId="0">
      <selection activeCell="J35" sqref="J35"/>
    </sheetView>
  </sheetViews>
  <sheetFormatPr baseColWidth="10" defaultColWidth="10.75" defaultRowHeight="11" outlineLevelRow="2" x14ac:dyDescent="0.15"/>
  <cols>
    <col min="1" max="1" width="56" customWidth="1"/>
    <col min="2" max="2" width="13.75" customWidth="1"/>
    <col min="3" max="3" width="18.75" customWidth="1"/>
    <col min="4" max="4" width="14" customWidth="1"/>
    <col min="5" max="5" width="1" customWidth="1"/>
    <col min="6" max="6" width="15" customWidth="1"/>
    <col min="7" max="7" width="10.75" customWidth="1"/>
    <col min="8" max="8" width="11.25" style="11" customWidth="1"/>
    <col min="9" max="9" width="20.5" style="11" customWidth="1"/>
    <col min="10" max="10" width="23.75" style="11" customWidth="1"/>
    <col min="11" max="11" width="15.75" customWidth="1"/>
    <col min="12" max="12" width="17.75" customWidth="1"/>
    <col min="13" max="13" width="16.75" customWidth="1"/>
    <col min="14" max="14" width="16.25" customWidth="1"/>
    <col min="15" max="15" width="21" customWidth="1"/>
    <col min="16" max="16" width="15.25" customWidth="1"/>
  </cols>
  <sheetData>
    <row r="1" spans="1:16" ht="10" customHeight="1" collapsed="1" x14ac:dyDescent="0.15">
      <c r="B1" t="s">
        <v>38</v>
      </c>
    </row>
    <row r="2" spans="1:16" ht="12.75" hidden="1" customHeight="1" outlineLevel="1" x14ac:dyDescent="0.15">
      <c r="A2" s="1" t="s">
        <v>0</v>
      </c>
      <c r="B2" s="1" t="s">
        <v>1</v>
      </c>
      <c r="C2" s="1"/>
      <c r="D2" s="1"/>
    </row>
    <row r="3" spans="1:16" ht="51" hidden="1" customHeight="1" outlineLevel="1" x14ac:dyDescent="0.15">
      <c r="A3" s="1" t="s">
        <v>2</v>
      </c>
      <c r="B3" s="154" t="s">
        <v>3</v>
      </c>
      <c r="C3" s="154"/>
    </row>
    <row r="4" spans="1:16" ht="10" customHeight="1" x14ac:dyDescent="0.15">
      <c r="A4" t="s">
        <v>67</v>
      </c>
    </row>
    <row r="5" spans="1:16" ht="12.75" customHeight="1" x14ac:dyDescent="0.15">
      <c r="A5" s="143" t="s">
        <v>4</v>
      </c>
      <c r="B5" s="143"/>
      <c r="C5" s="155" t="s">
        <v>5</v>
      </c>
      <c r="D5" s="155" t="s">
        <v>71</v>
      </c>
      <c r="E5" s="155"/>
      <c r="F5" s="155" t="s">
        <v>6</v>
      </c>
      <c r="G5" s="140" t="s">
        <v>63</v>
      </c>
      <c r="H5" s="140" t="s">
        <v>65</v>
      </c>
      <c r="I5" s="140" t="s">
        <v>66</v>
      </c>
      <c r="J5" s="140" t="s">
        <v>72</v>
      </c>
      <c r="K5" s="140" t="s">
        <v>73</v>
      </c>
      <c r="L5" s="140" t="s">
        <v>64</v>
      </c>
      <c r="M5" s="147" t="s">
        <v>74</v>
      </c>
      <c r="N5" s="140" t="s">
        <v>68</v>
      </c>
      <c r="O5" s="162" t="s">
        <v>69</v>
      </c>
      <c r="P5" s="162" t="s">
        <v>70</v>
      </c>
    </row>
    <row r="6" spans="1:16" ht="12.75" customHeight="1" x14ac:dyDescent="0.15">
      <c r="A6" s="143" t="s">
        <v>7</v>
      </c>
      <c r="B6" s="143"/>
      <c r="C6" s="148"/>
      <c r="D6" s="145"/>
      <c r="E6" s="165"/>
      <c r="F6" s="148"/>
      <c r="G6" s="145"/>
      <c r="H6" s="145"/>
      <c r="I6" s="145"/>
      <c r="J6" s="145"/>
      <c r="K6" s="145"/>
      <c r="L6" s="145"/>
      <c r="M6" s="152"/>
      <c r="N6" s="141"/>
      <c r="O6" s="163"/>
      <c r="P6" s="163"/>
    </row>
    <row r="7" spans="1:16" ht="46.5" customHeight="1" x14ac:dyDescent="0.15">
      <c r="A7" s="143" t="s">
        <v>8</v>
      </c>
      <c r="B7" s="143"/>
      <c r="C7" s="149"/>
      <c r="D7" s="146"/>
      <c r="E7" s="166"/>
      <c r="F7" s="149"/>
      <c r="G7" s="146"/>
      <c r="H7" s="146"/>
      <c r="I7" s="146"/>
      <c r="J7" s="146"/>
      <c r="K7" s="146"/>
      <c r="L7" s="146"/>
      <c r="M7" s="153"/>
      <c r="N7" s="142"/>
      <c r="O7" s="164"/>
      <c r="P7" s="164"/>
    </row>
    <row r="8" spans="1:16" ht="11.25" customHeight="1" x14ac:dyDescent="0.15">
      <c r="A8" s="144" t="s">
        <v>9</v>
      </c>
      <c r="B8" s="144"/>
      <c r="C8" s="2"/>
      <c r="D8" s="158"/>
      <c r="E8" s="158"/>
      <c r="F8" s="3"/>
      <c r="G8" s="12"/>
      <c r="H8" s="2"/>
      <c r="I8" s="158"/>
      <c r="J8" s="158"/>
      <c r="K8" s="3"/>
      <c r="L8" s="12"/>
      <c r="M8" s="12"/>
      <c r="N8" s="12"/>
      <c r="O8" s="12"/>
      <c r="P8" s="12"/>
    </row>
    <row r="9" spans="1:16" ht="11.25" customHeight="1" outlineLevel="1" x14ac:dyDescent="0.15">
      <c r="A9" s="139" t="s">
        <v>10</v>
      </c>
      <c r="B9" s="139"/>
      <c r="C9" s="4"/>
      <c r="D9" s="159"/>
      <c r="E9" s="159"/>
      <c r="F9" s="5"/>
      <c r="G9" s="13"/>
      <c r="H9" s="4"/>
      <c r="I9" s="159"/>
      <c r="J9" s="159"/>
      <c r="K9" s="23"/>
      <c r="L9" s="24"/>
      <c r="M9" s="24"/>
      <c r="N9" s="24"/>
      <c r="O9" s="24"/>
      <c r="P9" s="24"/>
    </row>
    <row r="10" spans="1:16" ht="11.25" customHeight="1" outlineLevel="2" x14ac:dyDescent="0.15">
      <c r="A10" s="21" t="s">
        <v>11</v>
      </c>
      <c r="B10" s="22" t="s">
        <v>37</v>
      </c>
      <c r="C10" s="6">
        <v>37</v>
      </c>
      <c r="D10" s="160">
        <v>50309.97</v>
      </c>
      <c r="E10" s="160"/>
      <c r="F10" s="7">
        <v>41924.94</v>
      </c>
      <c r="G10" s="14">
        <v>1359.73</v>
      </c>
      <c r="H10" s="17">
        <v>2540</v>
      </c>
      <c r="I10" s="17">
        <f>H10-H10*0.37</f>
        <v>1600.2</v>
      </c>
      <c r="J10" s="18">
        <f>C10*I10</f>
        <v>59207.4</v>
      </c>
      <c r="K10" s="18">
        <v>297.75</v>
      </c>
      <c r="L10" s="17">
        <f>K10*C10</f>
        <v>11016.75</v>
      </c>
      <c r="M10" s="17">
        <v>371.4</v>
      </c>
      <c r="N10" s="17">
        <f>M10*C10</f>
        <v>13741.8</v>
      </c>
      <c r="O10" s="17">
        <v>572.78</v>
      </c>
      <c r="P10" s="17">
        <f>C10*O10</f>
        <v>21192.86</v>
      </c>
    </row>
    <row r="11" spans="1:16" ht="11.25" customHeight="1" outlineLevel="2" x14ac:dyDescent="0.15">
      <c r="A11" s="21" t="s">
        <v>12</v>
      </c>
      <c r="B11" s="22" t="s">
        <v>39</v>
      </c>
      <c r="C11" s="6">
        <v>8</v>
      </c>
      <c r="D11" s="160">
        <v>17489.55</v>
      </c>
      <c r="E11" s="160"/>
      <c r="F11" s="7">
        <v>14574.62</v>
      </c>
      <c r="G11" s="14">
        <v>2186.19</v>
      </c>
      <c r="H11" s="17">
        <v>4449</v>
      </c>
      <c r="I11" s="17">
        <f t="shared" ref="I11:I34" si="0">H11-H11*0.37</f>
        <v>2802.87</v>
      </c>
      <c r="J11" s="18">
        <f t="shared" ref="J11:J34" si="1">C11*I11</f>
        <v>22422.959999999999</v>
      </c>
      <c r="K11" s="18">
        <v>732.81</v>
      </c>
      <c r="L11" s="17">
        <f t="shared" ref="L11:L34" si="2">K11*C11</f>
        <v>5862.48</v>
      </c>
      <c r="M11" s="17">
        <v>1016.21</v>
      </c>
      <c r="N11" s="17">
        <f t="shared" ref="N11:N32" si="3">M11*C11</f>
        <v>8129.68</v>
      </c>
      <c r="O11" s="17">
        <v>1636.54</v>
      </c>
      <c r="P11" s="17">
        <f t="shared" ref="P11:P34" si="4">C11*O11</f>
        <v>13092.32</v>
      </c>
    </row>
    <row r="12" spans="1:16" ht="11.25" customHeight="1" outlineLevel="2" x14ac:dyDescent="0.15">
      <c r="A12" s="21" t="s">
        <v>13</v>
      </c>
      <c r="B12" s="22" t="s">
        <v>40</v>
      </c>
      <c r="C12" s="6">
        <v>48</v>
      </c>
      <c r="D12" s="160">
        <v>33733.21</v>
      </c>
      <c r="E12" s="160"/>
      <c r="F12" s="7">
        <v>28110.99</v>
      </c>
      <c r="G12" s="15">
        <v>702.78</v>
      </c>
      <c r="H12" s="17">
        <v>1968</v>
      </c>
      <c r="I12" s="17">
        <f t="shared" si="0"/>
        <v>1239.8400000000001</v>
      </c>
      <c r="J12" s="18">
        <f t="shared" si="1"/>
        <v>59512.320000000007</v>
      </c>
      <c r="K12" s="18">
        <v>163.38999999999999</v>
      </c>
      <c r="L12" s="17">
        <f t="shared" si="2"/>
        <v>7842.7199999999993</v>
      </c>
      <c r="M12" s="17">
        <v>210.6</v>
      </c>
      <c r="N12" s="17">
        <f t="shared" si="3"/>
        <v>10108.799999999999</v>
      </c>
      <c r="O12" s="17">
        <v>323.95999999999998</v>
      </c>
      <c r="P12" s="17">
        <f t="shared" si="4"/>
        <v>15550.079999999998</v>
      </c>
    </row>
    <row r="13" spans="1:16" ht="11.25" customHeight="1" outlineLevel="2" x14ac:dyDescent="0.15">
      <c r="A13" s="21" t="s">
        <v>14</v>
      </c>
      <c r="B13" s="22" t="s">
        <v>41</v>
      </c>
      <c r="C13" s="6">
        <v>1</v>
      </c>
      <c r="D13" s="160">
        <v>1335.24</v>
      </c>
      <c r="E13" s="160"/>
      <c r="F13" s="8">
        <v>1112.7</v>
      </c>
      <c r="G13" s="14">
        <v>1335.24</v>
      </c>
      <c r="H13" s="17">
        <v>3000</v>
      </c>
      <c r="I13" s="17">
        <f t="shared" si="0"/>
        <v>1890</v>
      </c>
      <c r="J13" s="18">
        <f t="shared" si="1"/>
        <v>1890</v>
      </c>
      <c r="K13" s="18">
        <v>355.74</v>
      </c>
      <c r="L13" s="17">
        <f t="shared" si="2"/>
        <v>355.74</v>
      </c>
      <c r="M13" s="17">
        <v>470.58</v>
      </c>
      <c r="N13" s="17">
        <f t="shared" si="3"/>
        <v>470.58</v>
      </c>
      <c r="O13" s="17">
        <v>767.18</v>
      </c>
      <c r="P13" s="17">
        <f t="shared" si="4"/>
        <v>767.18</v>
      </c>
    </row>
    <row r="14" spans="1:16" ht="11.25" customHeight="1" outlineLevel="2" x14ac:dyDescent="0.15">
      <c r="A14" s="21" t="s">
        <v>15</v>
      </c>
      <c r="B14" s="22" t="s">
        <v>42</v>
      </c>
      <c r="C14" s="6">
        <v>29</v>
      </c>
      <c r="D14" s="160">
        <v>32260.34</v>
      </c>
      <c r="E14" s="160"/>
      <c r="F14" s="7">
        <v>26883.61</v>
      </c>
      <c r="G14" s="14">
        <v>1112.43</v>
      </c>
      <c r="H14" s="17">
        <v>3540</v>
      </c>
      <c r="I14" s="17">
        <f t="shared" si="0"/>
        <v>2230.1999999999998</v>
      </c>
      <c r="J14" s="18">
        <f t="shared" si="1"/>
        <v>64675.799999999996</v>
      </c>
      <c r="K14" s="18">
        <v>417.62</v>
      </c>
      <c r="L14" s="17">
        <f t="shared" si="2"/>
        <v>12110.98</v>
      </c>
      <c r="M14" s="17">
        <v>560.5</v>
      </c>
      <c r="N14" s="17">
        <f t="shared" si="3"/>
        <v>16254.5</v>
      </c>
      <c r="O14" s="17">
        <v>909.71</v>
      </c>
      <c r="P14" s="17">
        <f t="shared" si="4"/>
        <v>26381.59</v>
      </c>
    </row>
    <row r="15" spans="1:16" ht="11.25" customHeight="1" outlineLevel="2" x14ac:dyDescent="0.15">
      <c r="A15" s="21" t="s">
        <v>16</v>
      </c>
      <c r="B15" s="22" t="s">
        <v>43</v>
      </c>
      <c r="C15" s="6">
        <v>146</v>
      </c>
      <c r="D15" s="160">
        <v>218919.43</v>
      </c>
      <c r="E15" s="160"/>
      <c r="F15" s="7">
        <v>182432.87</v>
      </c>
      <c r="G15" s="14">
        <v>1499.45</v>
      </c>
      <c r="H15" s="17">
        <v>2916</v>
      </c>
      <c r="I15" s="17">
        <f t="shared" si="0"/>
        <v>1837.08</v>
      </c>
      <c r="J15" s="18">
        <f t="shared" si="1"/>
        <v>268213.68</v>
      </c>
      <c r="K15" s="18">
        <v>555.48</v>
      </c>
      <c r="L15" s="17">
        <f t="shared" si="2"/>
        <v>81100.08</v>
      </c>
      <c r="M15" s="17">
        <v>590.16</v>
      </c>
      <c r="N15" s="17">
        <f t="shared" si="3"/>
        <v>86163.36</v>
      </c>
      <c r="O15" s="17">
        <v>1105.17</v>
      </c>
      <c r="P15" s="17">
        <f t="shared" si="4"/>
        <v>161354.82</v>
      </c>
    </row>
    <row r="16" spans="1:16" ht="11.25" customHeight="1" outlineLevel="2" x14ac:dyDescent="0.15">
      <c r="A16" s="21" t="s">
        <v>17</v>
      </c>
      <c r="B16" s="22" t="s">
        <v>44</v>
      </c>
      <c r="C16" s="6">
        <v>68</v>
      </c>
      <c r="D16" s="160">
        <v>138051.18</v>
      </c>
      <c r="E16" s="160"/>
      <c r="F16" s="8">
        <v>115042.5</v>
      </c>
      <c r="G16" s="14">
        <v>2030.16</v>
      </c>
      <c r="H16" s="17">
        <v>3333</v>
      </c>
      <c r="I16" s="17">
        <f t="shared" si="0"/>
        <v>2099.79</v>
      </c>
      <c r="J16" s="18">
        <f t="shared" si="1"/>
        <v>142785.72</v>
      </c>
      <c r="K16" s="18">
        <v>644.48</v>
      </c>
      <c r="L16" s="17">
        <f t="shared" si="2"/>
        <v>43824.639999999999</v>
      </c>
      <c r="M16" s="17">
        <v>713.27</v>
      </c>
      <c r="N16" s="17">
        <f t="shared" si="3"/>
        <v>48502.36</v>
      </c>
      <c r="O16" s="17">
        <v>1304.57</v>
      </c>
      <c r="P16" s="17">
        <f t="shared" si="4"/>
        <v>88710.76</v>
      </c>
    </row>
    <row r="17" spans="1:16" ht="11.25" customHeight="1" outlineLevel="2" x14ac:dyDescent="0.15">
      <c r="A17" s="21" t="s">
        <v>18</v>
      </c>
      <c r="B17" s="22" t="s">
        <v>45</v>
      </c>
      <c r="C17" s="6">
        <v>62</v>
      </c>
      <c r="D17" s="160">
        <v>147515.94</v>
      </c>
      <c r="E17" s="160"/>
      <c r="F17" s="7">
        <v>122929.88</v>
      </c>
      <c r="G17" s="14">
        <v>2379.29</v>
      </c>
      <c r="H17" s="17">
        <v>3730</v>
      </c>
      <c r="I17" s="17">
        <f t="shared" si="0"/>
        <v>2349.9</v>
      </c>
      <c r="J17" s="18">
        <f t="shared" si="1"/>
        <v>145693.80000000002</v>
      </c>
      <c r="K17" s="18">
        <v>730.84</v>
      </c>
      <c r="L17" s="17">
        <f t="shared" si="2"/>
        <v>45312.08</v>
      </c>
      <c r="M17" s="17">
        <v>835.62</v>
      </c>
      <c r="N17" s="17">
        <f t="shared" si="3"/>
        <v>51808.44</v>
      </c>
      <c r="O17" s="17">
        <v>1359.29</v>
      </c>
      <c r="P17" s="17">
        <f t="shared" si="4"/>
        <v>84275.98</v>
      </c>
    </row>
    <row r="18" spans="1:16" ht="11.25" customHeight="1" outlineLevel="2" x14ac:dyDescent="0.15">
      <c r="A18" s="21" t="s">
        <v>19</v>
      </c>
      <c r="B18" s="22" t="s">
        <v>46</v>
      </c>
      <c r="C18" s="6">
        <v>92</v>
      </c>
      <c r="D18" s="160">
        <v>216361.01</v>
      </c>
      <c r="E18" s="160"/>
      <c r="F18" s="7">
        <v>180300.83</v>
      </c>
      <c r="G18" s="14">
        <v>2351.75</v>
      </c>
      <c r="H18" s="17">
        <v>4667</v>
      </c>
      <c r="I18" s="17">
        <f t="shared" si="0"/>
        <v>2940.21</v>
      </c>
      <c r="J18" s="18">
        <f t="shared" si="1"/>
        <v>270499.32</v>
      </c>
      <c r="K18" s="18">
        <v>910.24</v>
      </c>
      <c r="L18" s="17">
        <f t="shared" si="2"/>
        <v>83742.080000000002</v>
      </c>
      <c r="M18" s="17">
        <v>1081.96</v>
      </c>
      <c r="N18" s="17">
        <f t="shared" si="3"/>
        <v>99540.32</v>
      </c>
      <c r="O18" s="17">
        <v>1900.91</v>
      </c>
      <c r="P18" s="17">
        <f t="shared" si="4"/>
        <v>174883.72</v>
      </c>
    </row>
    <row r="19" spans="1:16" ht="11.25" customHeight="1" outlineLevel="2" x14ac:dyDescent="0.15">
      <c r="A19" s="21" t="s">
        <v>20</v>
      </c>
      <c r="B19" s="22" t="s">
        <v>47</v>
      </c>
      <c r="C19" s="6">
        <v>17</v>
      </c>
      <c r="D19" s="160">
        <v>33020.58</v>
      </c>
      <c r="E19" s="160"/>
      <c r="F19" s="7">
        <v>27517.16</v>
      </c>
      <c r="G19" s="14">
        <v>1942.39</v>
      </c>
      <c r="H19" s="17">
        <v>4637</v>
      </c>
      <c r="I19" s="17">
        <f t="shared" si="0"/>
        <v>2921.31</v>
      </c>
      <c r="J19" s="18">
        <f t="shared" si="1"/>
        <v>49662.27</v>
      </c>
      <c r="K19" s="18">
        <v>1041.3800000000001</v>
      </c>
      <c r="L19" s="17">
        <f t="shared" si="2"/>
        <v>17703.460000000003</v>
      </c>
      <c r="M19" s="17">
        <v>1351.23</v>
      </c>
      <c r="N19" s="17">
        <f t="shared" si="3"/>
        <v>22970.91</v>
      </c>
      <c r="O19" s="17">
        <v>1881</v>
      </c>
      <c r="P19" s="17">
        <f t="shared" si="4"/>
        <v>31977</v>
      </c>
    </row>
    <row r="20" spans="1:16" ht="11.25" customHeight="1" outlineLevel="2" x14ac:dyDescent="0.15">
      <c r="A20" s="21" t="s">
        <v>21</v>
      </c>
      <c r="B20" s="22" t="s">
        <v>48</v>
      </c>
      <c r="C20" s="6">
        <v>1</v>
      </c>
      <c r="D20" s="160">
        <v>3183.18</v>
      </c>
      <c r="E20" s="160"/>
      <c r="F20" s="7">
        <v>2652.65</v>
      </c>
      <c r="G20" s="14">
        <v>3183.18</v>
      </c>
      <c r="H20" s="17">
        <v>6754</v>
      </c>
      <c r="I20" s="17">
        <f t="shared" si="0"/>
        <v>4255.0200000000004</v>
      </c>
      <c r="J20" s="18">
        <f t="shared" si="1"/>
        <v>4255.0200000000004</v>
      </c>
      <c r="K20" s="18">
        <v>1293.6300000000001</v>
      </c>
      <c r="L20" s="17">
        <f t="shared" si="2"/>
        <v>1293.6300000000001</v>
      </c>
      <c r="M20" s="17">
        <v>1717.86</v>
      </c>
      <c r="N20" s="17">
        <f t="shared" si="3"/>
        <v>1717.86</v>
      </c>
      <c r="O20" s="17">
        <v>2266.27</v>
      </c>
      <c r="P20" s="17">
        <f t="shared" si="4"/>
        <v>2266.27</v>
      </c>
    </row>
    <row r="21" spans="1:16" ht="11.25" customHeight="1" outlineLevel="2" x14ac:dyDescent="0.15">
      <c r="A21" s="21" t="s">
        <v>22</v>
      </c>
      <c r="B21" s="22" t="s">
        <v>49</v>
      </c>
      <c r="C21" s="6">
        <v>23</v>
      </c>
      <c r="D21" s="160">
        <v>68794.59</v>
      </c>
      <c r="E21" s="160"/>
      <c r="F21" s="7">
        <v>57328.82</v>
      </c>
      <c r="G21" s="14">
        <v>2991.07</v>
      </c>
      <c r="H21" s="17">
        <v>5947</v>
      </c>
      <c r="I21" s="17">
        <f t="shared" si="0"/>
        <v>3746.61</v>
      </c>
      <c r="J21" s="18">
        <f t="shared" si="1"/>
        <v>86172.03</v>
      </c>
      <c r="K21" s="18">
        <v>1327.72</v>
      </c>
      <c r="L21" s="17">
        <f t="shared" si="2"/>
        <v>30537.56</v>
      </c>
      <c r="M21" s="17">
        <v>1709.59</v>
      </c>
      <c r="N21" s="17">
        <f t="shared" si="3"/>
        <v>39320.57</v>
      </c>
      <c r="O21" s="17">
        <v>2472.0500000000002</v>
      </c>
      <c r="P21" s="17">
        <f t="shared" si="4"/>
        <v>56857.15</v>
      </c>
    </row>
    <row r="22" spans="1:16" ht="11.25" customHeight="1" outlineLevel="2" x14ac:dyDescent="0.15">
      <c r="A22" s="21" t="s">
        <v>23</v>
      </c>
      <c r="B22" s="22" t="s">
        <v>50</v>
      </c>
      <c r="C22" s="6">
        <v>11</v>
      </c>
      <c r="D22" s="160">
        <v>39410.620000000003</v>
      </c>
      <c r="E22" s="160"/>
      <c r="F22" s="8">
        <v>32842.199999999997</v>
      </c>
      <c r="G22" s="14">
        <v>3582.78</v>
      </c>
      <c r="H22" s="17">
        <v>7963</v>
      </c>
      <c r="I22" s="17">
        <f t="shared" si="0"/>
        <v>5016.6900000000005</v>
      </c>
      <c r="J22" s="18">
        <f t="shared" si="1"/>
        <v>55183.590000000004</v>
      </c>
      <c r="K22" s="18">
        <v>1661.08</v>
      </c>
      <c r="L22" s="17">
        <f t="shared" si="2"/>
        <v>18271.879999999997</v>
      </c>
      <c r="M22" s="17">
        <v>2194.17</v>
      </c>
      <c r="N22" s="17">
        <f t="shared" si="3"/>
        <v>24135.870000000003</v>
      </c>
      <c r="O22" s="17">
        <v>2848.92</v>
      </c>
      <c r="P22" s="17">
        <f t="shared" si="4"/>
        <v>31338.120000000003</v>
      </c>
    </row>
    <row r="23" spans="1:16" ht="11.25" customHeight="1" outlineLevel="2" x14ac:dyDescent="0.15">
      <c r="A23" s="21" t="s">
        <v>24</v>
      </c>
      <c r="B23" s="22" t="s">
        <v>51</v>
      </c>
      <c r="C23" s="6">
        <v>17</v>
      </c>
      <c r="D23" s="160">
        <v>58817.25</v>
      </c>
      <c r="E23" s="160"/>
      <c r="F23" s="7">
        <v>49014.36</v>
      </c>
      <c r="G23" s="14">
        <v>3459.84</v>
      </c>
      <c r="H23" s="17">
        <v>7358</v>
      </c>
      <c r="I23" s="17">
        <f t="shared" si="0"/>
        <v>4635.54</v>
      </c>
      <c r="J23" s="18">
        <f t="shared" si="1"/>
        <v>78804.179999999993</v>
      </c>
      <c r="K23" s="18">
        <v>1478.54</v>
      </c>
      <c r="L23" s="17">
        <f t="shared" si="2"/>
        <v>25135.18</v>
      </c>
      <c r="M23" s="17">
        <v>1974.86</v>
      </c>
      <c r="N23" s="17">
        <f t="shared" si="3"/>
        <v>33572.619999999995</v>
      </c>
      <c r="O23" s="17">
        <v>2524.02</v>
      </c>
      <c r="P23" s="17">
        <f t="shared" si="4"/>
        <v>42908.34</v>
      </c>
    </row>
    <row r="24" spans="1:16" ht="11.25" customHeight="1" outlineLevel="2" x14ac:dyDescent="0.15">
      <c r="A24" s="21" t="s">
        <v>25</v>
      </c>
      <c r="B24" s="22" t="s">
        <v>52</v>
      </c>
      <c r="C24" s="6">
        <v>12</v>
      </c>
      <c r="D24" s="161">
        <v>37130.699999999997</v>
      </c>
      <c r="E24" s="161"/>
      <c r="F24" s="7">
        <v>30942.25</v>
      </c>
      <c r="G24" s="14">
        <v>3094.23</v>
      </c>
      <c r="H24" s="17">
        <v>6350</v>
      </c>
      <c r="I24" s="17">
        <f t="shared" si="0"/>
        <v>4000.5</v>
      </c>
      <c r="J24" s="18">
        <f t="shared" si="1"/>
        <v>48006</v>
      </c>
      <c r="K24" s="18">
        <v>1360.64</v>
      </c>
      <c r="L24" s="17">
        <f t="shared" si="2"/>
        <v>16327.68</v>
      </c>
      <c r="M24" s="17">
        <v>1790.54</v>
      </c>
      <c r="N24" s="17">
        <f t="shared" si="3"/>
        <v>21486.48</v>
      </c>
      <c r="O24" s="17">
        <v>2459.67</v>
      </c>
      <c r="P24" s="17">
        <f t="shared" si="4"/>
        <v>29516.04</v>
      </c>
    </row>
    <row r="25" spans="1:16" ht="11.25" customHeight="1" outlineLevel="2" x14ac:dyDescent="0.15">
      <c r="A25" s="21" t="s">
        <v>26</v>
      </c>
      <c r="B25" s="22" t="s">
        <v>53</v>
      </c>
      <c r="C25" s="6">
        <v>19</v>
      </c>
      <c r="D25" s="160">
        <v>69079.66</v>
      </c>
      <c r="E25" s="160"/>
      <c r="F25" s="7">
        <v>57566.39</v>
      </c>
      <c r="G25" s="14">
        <v>3635.77</v>
      </c>
      <c r="H25" s="17">
        <v>8366</v>
      </c>
      <c r="I25" s="17">
        <f t="shared" si="0"/>
        <v>5270.58</v>
      </c>
      <c r="J25" s="18">
        <f t="shared" si="1"/>
        <v>100141.02</v>
      </c>
      <c r="K25" s="18">
        <v>1681.35</v>
      </c>
      <c r="L25" s="17">
        <f t="shared" si="2"/>
        <v>31945.649999999998</v>
      </c>
      <c r="M25" s="17">
        <v>2256.71</v>
      </c>
      <c r="N25" s="17">
        <f t="shared" si="3"/>
        <v>42877.49</v>
      </c>
      <c r="O25" s="17">
        <v>2995.4</v>
      </c>
      <c r="P25" s="17">
        <f t="shared" si="4"/>
        <v>56912.6</v>
      </c>
    </row>
    <row r="26" spans="1:16" ht="11.25" customHeight="1" outlineLevel="2" x14ac:dyDescent="0.15">
      <c r="A26" s="21" t="s">
        <v>27</v>
      </c>
      <c r="B26" s="22" t="s">
        <v>54</v>
      </c>
      <c r="C26" s="6">
        <v>1</v>
      </c>
      <c r="D26" s="160">
        <v>4778.3100000000004</v>
      </c>
      <c r="E26" s="160"/>
      <c r="F26" s="7">
        <v>3981.92</v>
      </c>
      <c r="G26" s="14">
        <v>4778.3100000000004</v>
      </c>
      <c r="H26" s="17">
        <v>8064</v>
      </c>
      <c r="I26" s="17">
        <f t="shared" si="0"/>
        <v>5080.32</v>
      </c>
      <c r="J26" s="18">
        <f t="shared" si="1"/>
        <v>5080.32</v>
      </c>
      <c r="K26" s="18">
        <v>1632.41</v>
      </c>
      <c r="L26" s="17">
        <f t="shared" si="2"/>
        <v>1632.41</v>
      </c>
      <c r="M26" s="17">
        <v>2143.13</v>
      </c>
      <c r="N26" s="17">
        <f t="shared" si="3"/>
        <v>2143.13</v>
      </c>
      <c r="O26" s="17">
        <v>3079.65</v>
      </c>
      <c r="P26" s="17">
        <f t="shared" si="4"/>
        <v>3079.65</v>
      </c>
    </row>
    <row r="27" spans="1:16" ht="11.25" customHeight="1" outlineLevel="2" x14ac:dyDescent="0.15">
      <c r="A27" s="21" t="s">
        <v>28</v>
      </c>
      <c r="B27" s="22" t="s">
        <v>55</v>
      </c>
      <c r="C27" s="6">
        <v>11</v>
      </c>
      <c r="D27" s="160">
        <v>52208.39</v>
      </c>
      <c r="E27" s="160"/>
      <c r="F27" s="7">
        <v>43506.97</v>
      </c>
      <c r="G27" s="14">
        <v>4746.22</v>
      </c>
      <c r="H27" s="17">
        <v>10181</v>
      </c>
      <c r="I27" s="17">
        <f t="shared" si="0"/>
        <v>6414.0300000000007</v>
      </c>
      <c r="J27" s="18">
        <f t="shared" si="1"/>
        <v>70554.33</v>
      </c>
      <c r="K27" s="18">
        <v>1948.45</v>
      </c>
      <c r="L27" s="17">
        <f t="shared" si="2"/>
        <v>21432.95</v>
      </c>
      <c r="M27" s="17">
        <v>2602.5</v>
      </c>
      <c r="N27" s="17">
        <f t="shared" si="3"/>
        <v>28627.5</v>
      </c>
      <c r="O27" s="17">
        <v>3508.79</v>
      </c>
      <c r="P27" s="17">
        <f t="shared" si="4"/>
        <v>38596.69</v>
      </c>
    </row>
    <row r="28" spans="1:16" ht="24" outlineLevel="2" x14ac:dyDescent="0.15">
      <c r="A28" s="21" t="s">
        <v>29</v>
      </c>
      <c r="B28" s="22" t="s">
        <v>56</v>
      </c>
      <c r="C28" s="6">
        <v>68</v>
      </c>
      <c r="D28" s="160">
        <v>226306.14</v>
      </c>
      <c r="E28" s="160"/>
      <c r="F28" s="7">
        <v>188588.34</v>
      </c>
      <c r="G28" s="14">
        <v>3328.03</v>
      </c>
      <c r="H28" s="17">
        <v>7016</v>
      </c>
      <c r="I28" s="17">
        <f t="shared" si="0"/>
        <v>4420.08</v>
      </c>
      <c r="J28" s="18">
        <f t="shared" si="1"/>
        <v>300565.44</v>
      </c>
      <c r="K28" s="18">
        <v>1256.78</v>
      </c>
      <c r="L28" s="17">
        <f t="shared" si="2"/>
        <v>85461.04</v>
      </c>
      <c r="M28" s="17">
        <v>1740.72</v>
      </c>
      <c r="N28" s="17">
        <f t="shared" si="3"/>
        <v>118368.96000000001</v>
      </c>
      <c r="O28" s="17">
        <v>2989.38</v>
      </c>
      <c r="P28" s="17">
        <f t="shared" si="4"/>
        <v>203277.84</v>
      </c>
    </row>
    <row r="29" spans="1:16" ht="24" outlineLevel="2" x14ac:dyDescent="0.15">
      <c r="A29" s="21" t="s">
        <v>30</v>
      </c>
      <c r="B29" s="22" t="s">
        <v>57</v>
      </c>
      <c r="C29" s="6">
        <v>75</v>
      </c>
      <c r="D29" s="160">
        <v>331611.74</v>
      </c>
      <c r="E29" s="160"/>
      <c r="F29" s="7">
        <v>276343.08</v>
      </c>
      <c r="G29" s="14">
        <v>4421.49</v>
      </c>
      <c r="H29" s="17">
        <v>8721</v>
      </c>
      <c r="I29" s="17">
        <f t="shared" si="0"/>
        <v>5494.23</v>
      </c>
      <c r="J29" s="18">
        <f t="shared" si="1"/>
        <v>412067.24999999994</v>
      </c>
      <c r="K29" s="18">
        <v>1620.59</v>
      </c>
      <c r="L29" s="17">
        <f t="shared" si="2"/>
        <v>121544.25</v>
      </c>
      <c r="M29" s="17">
        <v>2266.02</v>
      </c>
      <c r="N29" s="17">
        <f t="shared" si="3"/>
        <v>169951.5</v>
      </c>
      <c r="O29" s="17">
        <v>3879.61</v>
      </c>
      <c r="P29" s="17">
        <f t="shared" si="4"/>
        <v>290970.75</v>
      </c>
    </row>
    <row r="30" spans="1:16" ht="24" outlineLevel="2" x14ac:dyDescent="0.15">
      <c r="A30" s="21" t="s">
        <v>31</v>
      </c>
      <c r="B30" s="22" t="s">
        <v>58</v>
      </c>
      <c r="C30" s="6">
        <v>62</v>
      </c>
      <c r="D30" s="160">
        <v>253993.62</v>
      </c>
      <c r="E30" s="160"/>
      <c r="F30" s="7">
        <v>211661.34</v>
      </c>
      <c r="G30" s="14">
        <v>4096.67</v>
      </c>
      <c r="H30" s="17">
        <v>7568</v>
      </c>
      <c r="I30" s="17">
        <f t="shared" si="0"/>
        <v>4767.84</v>
      </c>
      <c r="J30" s="18">
        <f t="shared" si="1"/>
        <v>295606.08</v>
      </c>
      <c r="K30" s="18">
        <v>1358.78</v>
      </c>
      <c r="L30" s="17">
        <f t="shared" si="2"/>
        <v>84244.36</v>
      </c>
      <c r="M30" s="17">
        <v>1878.49</v>
      </c>
      <c r="N30" s="17">
        <f t="shared" si="3"/>
        <v>116466.38</v>
      </c>
      <c r="O30" s="17">
        <v>3278.29</v>
      </c>
      <c r="P30" s="17">
        <f t="shared" si="4"/>
        <v>203253.98</v>
      </c>
    </row>
    <row r="31" spans="1:16" ht="11.25" customHeight="1" outlineLevel="2" x14ac:dyDescent="0.15">
      <c r="A31" s="21" t="s">
        <v>32</v>
      </c>
      <c r="B31" s="22" t="s">
        <v>59</v>
      </c>
      <c r="C31" s="6">
        <v>8</v>
      </c>
      <c r="D31" s="160">
        <v>33752.92</v>
      </c>
      <c r="E31" s="160"/>
      <c r="F31" s="7">
        <v>28127.43</v>
      </c>
      <c r="G31" s="14">
        <v>4219.12</v>
      </c>
      <c r="H31" s="17">
        <v>7459</v>
      </c>
      <c r="I31" s="17">
        <f t="shared" si="0"/>
        <v>4699.17</v>
      </c>
      <c r="J31" s="18">
        <f t="shared" si="1"/>
        <v>37593.360000000001</v>
      </c>
      <c r="K31" s="18">
        <v>1511.37</v>
      </c>
      <c r="L31" s="17">
        <f t="shared" si="2"/>
        <v>12090.96</v>
      </c>
      <c r="M31" s="17">
        <v>1974.12</v>
      </c>
      <c r="N31" s="17">
        <f t="shared" si="3"/>
        <v>15792.96</v>
      </c>
      <c r="O31" s="17">
        <v>2822.87</v>
      </c>
      <c r="P31" s="17">
        <f t="shared" si="4"/>
        <v>22582.959999999999</v>
      </c>
    </row>
    <row r="32" spans="1:16" ht="11.25" customHeight="1" outlineLevel="2" x14ac:dyDescent="0.15">
      <c r="A32" s="21" t="s">
        <v>33</v>
      </c>
      <c r="B32" s="22" t="s">
        <v>60</v>
      </c>
      <c r="C32" s="6">
        <v>6</v>
      </c>
      <c r="D32" s="160">
        <v>27860.23</v>
      </c>
      <c r="E32" s="160"/>
      <c r="F32" s="7">
        <v>23216.87</v>
      </c>
      <c r="G32" s="14">
        <v>4643.37</v>
      </c>
      <c r="H32" s="17">
        <v>9524</v>
      </c>
      <c r="I32" s="17">
        <f t="shared" si="0"/>
        <v>6000.12</v>
      </c>
      <c r="J32" s="18">
        <f t="shared" si="1"/>
        <v>36000.720000000001</v>
      </c>
      <c r="K32" s="18">
        <v>1635.65</v>
      </c>
      <c r="L32" s="17">
        <f t="shared" si="2"/>
        <v>9813.9000000000015</v>
      </c>
      <c r="M32" s="17">
        <v>2154.77</v>
      </c>
      <c r="N32" s="17">
        <f t="shared" si="3"/>
        <v>12928.619999999999</v>
      </c>
      <c r="O32" s="17">
        <v>3015.56</v>
      </c>
      <c r="P32" s="17">
        <f t="shared" si="4"/>
        <v>18093.36</v>
      </c>
    </row>
    <row r="33" spans="1:16" ht="11.25" customHeight="1" outlineLevel="2" x14ac:dyDescent="0.15">
      <c r="A33" s="21" t="s">
        <v>34</v>
      </c>
      <c r="B33" s="22" t="s">
        <v>61</v>
      </c>
      <c r="C33" s="6">
        <v>7</v>
      </c>
      <c r="D33" s="160">
        <v>92714.72</v>
      </c>
      <c r="E33" s="160"/>
      <c r="F33" s="7">
        <v>77262.27</v>
      </c>
      <c r="G33" s="14">
        <v>13244.96</v>
      </c>
      <c r="H33" s="17">
        <v>9734</v>
      </c>
      <c r="I33" s="17">
        <f t="shared" si="0"/>
        <v>6132.42</v>
      </c>
      <c r="J33" s="18">
        <f t="shared" si="1"/>
        <v>42926.94</v>
      </c>
      <c r="K33" s="17"/>
      <c r="L33" s="17">
        <f t="shared" si="2"/>
        <v>0</v>
      </c>
      <c r="M33" s="17"/>
      <c r="N33" s="17"/>
      <c r="O33" s="17">
        <v>9734</v>
      </c>
      <c r="P33" s="17">
        <f t="shared" si="4"/>
        <v>68138</v>
      </c>
    </row>
    <row r="34" spans="1:16" ht="11.25" customHeight="1" outlineLevel="2" x14ac:dyDescent="0.15">
      <c r="A34" s="21" t="s">
        <v>35</v>
      </c>
      <c r="B34" s="22" t="s">
        <v>62</v>
      </c>
      <c r="C34" s="6">
        <v>2</v>
      </c>
      <c r="D34" s="160">
        <v>26381.71</v>
      </c>
      <c r="E34" s="160"/>
      <c r="F34" s="7">
        <v>21984.76</v>
      </c>
      <c r="G34" s="14">
        <v>13190.86</v>
      </c>
      <c r="H34" s="17">
        <v>10727</v>
      </c>
      <c r="I34" s="17">
        <f t="shared" si="0"/>
        <v>6758.01</v>
      </c>
      <c r="J34" s="18">
        <f t="shared" si="1"/>
        <v>13516.02</v>
      </c>
      <c r="K34" s="17"/>
      <c r="L34" s="17">
        <f t="shared" si="2"/>
        <v>0</v>
      </c>
      <c r="M34" s="17"/>
      <c r="N34" s="17"/>
      <c r="O34" s="17">
        <v>10727</v>
      </c>
      <c r="P34" s="17">
        <f t="shared" si="4"/>
        <v>21454</v>
      </c>
    </row>
    <row r="35" spans="1:16" ht="12.75" customHeight="1" x14ac:dyDescent="0.15">
      <c r="A35" s="156" t="s">
        <v>36</v>
      </c>
      <c r="B35" s="156"/>
      <c r="C35" s="9">
        <v>831</v>
      </c>
      <c r="D35" s="157">
        <v>2215020.23</v>
      </c>
      <c r="E35" s="157"/>
      <c r="F35" s="10">
        <v>1845849.75</v>
      </c>
      <c r="G35" s="16"/>
      <c r="H35" s="9"/>
      <c r="I35" s="9"/>
      <c r="J35" s="10">
        <f>SUM(J10:J34)</f>
        <v>2671035.5700000003</v>
      </c>
      <c r="K35" s="25"/>
      <c r="L35" s="32">
        <f>SUM(L10:L34)</f>
        <v>768602.46000000008</v>
      </c>
      <c r="M35" s="32"/>
      <c r="N35" s="32">
        <f>SUM(N10:N34)</f>
        <v>985080.69</v>
      </c>
      <c r="O35" s="32"/>
      <c r="P35" s="33">
        <f>SUM(P10:P34)</f>
        <v>1707432.06</v>
      </c>
    </row>
    <row r="36" spans="1:16" ht="36" customHeight="1" x14ac:dyDescent="0.15">
      <c r="C36" s="27" t="s">
        <v>77</v>
      </c>
      <c r="D36" s="20">
        <v>1050544</v>
      </c>
      <c r="F36" s="20">
        <v>881615.66</v>
      </c>
      <c r="I36" s="19"/>
      <c r="J36" s="20">
        <v>1050544</v>
      </c>
      <c r="K36" s="19"/>
      <c r="L36" s="28">
        <f>F37</f>
        <v>964234.09</v>
      </c>
      <c r="N36" s="11">
        <f>F37</f>
        <v>964234.09</v>
      </c>
      <c r="P36" s="11">
        <f>F37</f>
        <v>964234.09</v>
      </c>
    </row>
    <row r="37" spans="1:16" ht="24" x14ac:dyDescent="0.15">
      <c r="C37" s="26" t="s">
        <v>75</v>
      </c>
      <c r="D37" s="30">
        <f>D35-D36</f>
        <v>1164476.23</v>
      </c>
      <c r="E37" s="31"/>
      <c r="F37" s="34">
        <f>F35-F36</f>
        <v>964234.09</v>
      </c>
      <c r="I37" s="27" t="s">
        <v>75</v>
      </c>
      <c r="J37" s="17">
        <f>J35-D36</f>
        <v>1620491.5700000003</v>
      </c>
      <c r="K37" s="29" t="s">
        <v>76</v>
      </c>
      <c r="L37" s="34">
        <f>F37-L35</f>
        <v>195631.62999999989</v>
      </c>
      <c r="M37" s="29" t="s">
        <v>76</v>
      </c>
      <c r="N37" s="34">
        <f>N36-N35</f>
        <v>-20846.599999999977</v>
      </c>
      <c r="O37" s="29" t="s">
        <v>76</v>
      </c>
      <c r="P37" s="34">
        <f>P36-P35</f>
        <v>-743197.97000000009</v>
      </c>
    </row>
  </sheetData>
  <mergeCells count="50">
    <mergeCell ref="O5:O7"/>
    <mergeCell ref="P5:P7"/>
    <mergeCell ref="B3:C3"/>
    <mergeCell ref="A5:B5"/>
    <mergeCell ref="C5:C7"/>
    <mergeCell ref="D5:E7"/>
    <mergeCell ref="F5:F7"/>
    <mergeCell ref="G5:G7"/>
    <mergeCell ref="A6:B6"/>
    <mergeCell ref="A7:B7"/>
    <mergeCell ref="L5:L7"/>
    <mergeCell ref="M5:M7"/>
    <mergeCell ref="N5:N7"/>
    <mergeCell ref="D29:E29"/>
    <mergeCell ref="D30:E30"/>
    <mergeCell ref="D26:E26"/>
    <mergeCell ref="D27:E27"/>
    <mergeCell ref="D28:E28"/>
    <mergeCell ref="D23:E23"/>
    <mergeCell ref="D24:E24"/>
    <mergeCell ref="D25:E25"/>
    <mergeCell ref="D20:E20"/>
    <mergeCell ref="D21:E21"/>
    <mergeCell ref="D22:E22"/>
    <mergeCell ref="D17:E17"/>
    <mergeCell ref="D18:E18"/>
    <mergeCell ref="K5:K7"/>
    <mergeCell ref="I8:J8"/>
    <mergeCell ref="I9:J9"/>
    <mergeCell ref="D32:E32"/>
    <mergeCell ref="D33:E33"/>
    <mergeCell ref="D31:E31"/>
    <mergeCell ref="D19:E19"/>
    <mergeCell ref="D14:E14"/>
    <mergeCell ref="D15:E15"/>
    <mergeCell ref="D16:E16"/>
    <mergeCell ref="D11:E11"/>
    <mergeCell ref="D12:E12"/>
    <mergeCell ref="D13:E13"/>
    <mergeCell ref="D8:E8"/>
    <mergeCell ref="D9:E9"/>
    <mergeCell ref="D10:E10"/>
    <mergeCell ref="A35:B35"/>
    <mergeCell ref="D35:E35"/>
    <mergeCell ref="H5:H7"/>
    <mergeCell ref="I5:I7"/>
    <mergeCell ref="J5:J7"/>
    <mergeCell ref="D34:E34"/>
    <mergeCell ref="A8:B8"/>
    <mergeCell ref="A9:B9"/>
  </mergeCells>
  <pageMargins left="0.39370078740157477" right="0.39370078740157477" top="0.39370078740157477" bottom="0.39370078740157477" header="0" footer="0"/>
  <pageSetup paperSize="9" scale="64" fitToHeight="0" pageOrder="overThenDown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 Алексей Геннадьевич</vt:lpstr>
      <vt:lpstr>Таблица Денис Николаевич</vt:lpstr>
      <vt:lpstr>Таблица Екатерина Александровна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Валентина В. Андреева</dc:creator>
  <cp:keywords/>
  <dc:description/>
  <cp:lastModifiedBy>Владимир Иванов</cp:lastModifiedBy>
  <cp:revision>1</cp:revision>
  <cp:lastPrinted>2026-01-30T07:41:27Z</cp:lastPrinted>
  <dcterms:created xsi:type="dcterms:W3CDTF">2026-01-28T10:55:58Z</dcterms:created>
  <dcterms:modified xsi:type="dcterms:W3CDTF">2026-02-02T08:11:20Z</dcterms:modified>
</cp:coreProperties>
</file>