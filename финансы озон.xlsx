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a\Desktop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72" i="1" l="1"/>
  <c r="Q7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2" i="1"/>
  <c r="M72" i="1"/>
  <c r="O7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2" i="1"/>
</calcChain>
</file>

<file path=xl/sharedStrings.xml><?xml version="1.0" encoding="utf-8"?>
<sst xmlns="http://schemas.openxmlformats.org/spreadsheetml/2006/main" count="155" uniqueCount="41">
  <si>
    <t>Сумма продажи</t>
  </si>
  <si>
    <t>Товар</t>
  </si>
  <si>
    <t>Стеллаж металлический СТ-СПЭ 2000*1000*400, 4 полки (150)</t>
  </si>
  <si>
    <t>Стеллаж металлический СТ-СПЭ 2000*1000*500, 4 полки (150)</t>
  </si>
  <si>
    <t>Ключница К-40</t>
  </si>
  <si>
    <t>Ключница К-60</t>
  </si>
  <si>
    <t>Ключница К-148</t>
  </si>
  <si>
    <t>Почтовый ящик ЯП-05 с замками</t>
  </si>
  <si>
    <t>Почтовый ящик ЯП-08 с замками</t>
  </si>
  <si>
    <t>Почтовый ящик ЯП-06 с замками</t>
  </si>
  <si>
    <t>Почтовый ящик ЯП-04 с замками</t>
  </si>
  <si>
    <t>Ключница К-20</t>
  </si>
  <si>
    <t>Стеллаж металлический СТ-СПЭ 2000*1000*400, 6 полок (150)</t>
  </si>
  <si>
    <t>Шкаф бухгалтерский ШБС-01 мини Т</t>
  </si>
  <si>
    <t>Шкаф бухгалтерский ШБС-01 мини</t>
  </si>
  <si>
    <t>Аптечка медицинская</t>
  </si>
  <si>
    <t>Сейф мебельный СМ-20 Э</t>
  </si>
  <si>
    <t>Сейф мебельный СМ-20</t>
  </si>
  <si>
    <t>Сейф мебельный СМ-23</t>
  </si>
  <si>
    <t>Сейф мебельный СМ-23 Э</t>
  </si>
  <si>
    <t>Сейф мебельный СМ-25 Э</t>
  </si>
  <si>
    <t>Сейф мебельный СМ-50</t>
  </si>
  <si>
    <t>Сейф мебельный СМ-30 Э</t>
  </si>
  <si>
    <t>Сейф мебельный СМ-30</t>
  </si>
  <si>
    <t>Шкаф ШБС-02-17(1700х500х400)</t>
  </si>
  <si>
    <t>Шкаф ШБС-01-17(1700х500х400)</t>
  </si>
  <si>
    <t>Сейф мебельный СМ-50 Э</t>
  </si>
  <si>
    <t>Цена продажи</t>
  </si>
  <si>
    <t>Сумма вознаграждения</t>
  </si>
  <si>
    <t>Себес</t>
  </si>
  <si>
    <t>Количество</t>
  </si>
  <si>
    <t>шт</t>
  </si>
  <si>
    <t>Услуги поставщика примерно%</t>
  </si>
  <si>
    <t>Стоимость продажи</t>
  </si>
  <si>
    <t>Что получили сумм</t>
  </si>
  <si>
    <t xml:space="preserve">Разница от себеса </t>
  </si>
  <si>
    <t>Общие потери и поступления</t>
  </si>
  <si>
    <t>Разница от себеса -средняя стоимость упаковки 118р</t>
  </si>
  <si>
    <t>Общие потери</t>
  </si>
  <si>
    <t>Возвраты</t>
  </si>
  <si>
    <t>Затраты без расходов ЦМ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</si>
</sst>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#,##0.00\ &quot;₽&quot;"/>
  </numFmts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color theme="1"/>
      <name val="Calibri"/>
      <family val="2"/>
      <charset val="204"/>
      <scheme val="minor"/>
    </font>
    <font>
      <sz val="10"/>
      <color indexed="63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9"/>
      <color indexed="63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0" fillId="0" borderId="0" xfId="0" applyNumberFormat="1"/>
    <xf numFmtId="0" fontId="0" fillId="0" borderId="1" xfId="0" applyBorder="1"/>
    <xf numFmtId="2" fontId="4" fillId="0" borderId="1" xfId="1" applyNumberFormat="1" applyFont="1" applyBorder="1" applyAlignment="1">
      <alignment horizontal="center" vertical="center"/>
    </xf>
    <xf numFmtId="2" fontId="4" fillId="0" borderId="1" xfId="1" applyNumberFormat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/>
    </xf>
    <xf numFmtId="2" fontId="4" fillId="0" borderId="1" xfId="1" applyNumberFormat="1" applyFont="1" applyFill="1" applyBorder="1" applyAlignment="1">
      <alignment horizontal="center" vertical="center" wrapText="1"/>
    </xf>
    <xf numFmtId="2" fontId="4" fillId="0" borderId="2" xfId="1" applyNumberFormat="1" applyFont="1" applyFill="1" applyBorder="1" applyAlignment="1">
      <alignment horizontal="center" vertical="center" wrapText="1"/>
    </xf>
    <xf numFmtId="2" fontId="5" fillId="0" borderId="1" xfId="1" applyNumberFormat="1" applyFont="1" applyBorder="1" applyAlignment="1">
      <alignment horizontal="left" vertical="top" wrapText="1"/>
    </xf>
    <xf numFmtId="2" fontId="5" fillId="0" borderId="1" xfId="1" applyNumberFormat="1" applyFont="1" applyBorder="1" applyAlignment="1">
      <alignment horizontal="right" vertical="top"/>
    </xf>
    <xf numFmtId="2" fontId="2" fillId="0" borderId="1" xfId="1" applyNumberFormat="1" applyFont="1" applyBorder="1" applyAlignment="1">
      <alignment horizontal="right" vertical="top"/>
    </xf>
    <xf numFmtId="2" fontId="5" fillId="0" borderId="1" xfId="1" applyNumberFormat="1" applyFont="1" applyFill="1" applyBorder="1" applyAlignment="1">
      <alignment horizontal="right" vertical="top"/>
    </xf>
    <xf numFmtId="2" fontId="3" fillId="0" borderId="1" xfId="0" applyNumberFormat="1" applyFont="1" applyBorder="1"/>
    <xf numFmtId="2" fontId="6" fillId="0" borderId="1" xfId="1" applyNumberFormat="1" applyFont="1" applyBorder="1" applyAlignment="1">
      <alignment horizontal="right" vertical="top"/>
    </xf>
    <xf numFmtId="2" fontId="0" fillId="0" borderId="1" xfId="0" applyNumberFormat="1" applyBorder="1"/>
    <xf numFmtId="2" fontId="5" fillId="0" borderId="1" xfId="1" applyNumberFormat="1" applyFont="1" applyBorder="1"/>
    <xf numFmtId="165" fontId="0" fillId="0" borderId="0" xfId="0" applyNumberFormat="1"/>
    <xf numFmtId="0" fontId="1" fillId="0" borderId="1" xfId="0" applyFont="1" applyBorder="1"/>
    <xf numFmtId="0" fontId="1" fillId="0" borderId="0" xfId="0" applyFont="1"/>
    <xf numFmtId="2" fontId="1" fillId="0" borderId="1" xfId="0" applyNumberFormat="1" applyFont="1" applyBorder="1"/>
    <xf numFmtId="4" fontId="0" fillId="0" borderId="0" xfId="0" applyNumberFormat="1"/>
  </cellXfs>
  <cellStyles count="2">
    <cellStyle name="Обычный" xfId="0" builtinId="0"/>
    <cellStyle name="Обычный_Лист1" xfId="1"/>
  </cellStyles>
  <dxfs count="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2"/>
  <sheetViews>
    <sheetView tabSelected="1" topLeftCell="A52" zoomScaleNormal="100" workbookViewId="0">
      <selection activeCell="S71" sqref="S71"/>
    </sheetView>
  </sheetViews>
  <sheetFormatPr defaultRowHeight="15" x14ac:dyDescent="0.25"/>
  <cols>
    <col min="1" max="1" width="11.28515625" customWidth="1"/>
    <col min="4" max="4" width="18" customWidth="1"/>
    <col min="5" max="5" width="11.28515625" style="16" bestFit="1" customWidth="1"/>
    <col min="6" max="6" width="8.28515625" style="1" bestFit="1" customWidth="1"/>
    <col min="7" max="7" width="8.85546875" bestFit="1" customWidth="1"/>
    <col min="8" max="9" width="10.28515625" style="16" bestFit="1" customWidth="1"/>
    <col min="10" max="10" width="9.28515625" style="16" bestFit="1" customWidth="1"/>
    <col min="12" max="12" width="13.140625" customWidth="1"/>
    <col min="19" max="19" width="24.7109375" bestFit="1" customWidth="1"/>
  </cols>
  <sheetData>
    <row r="1" spans="1:17" ht="89.25" x14ac:dyDescent="0.25">
      <c r="A1" s="3" t="s">
        <v>1</v>
      </c>
      <c r="B1" s="3"/>
      <c r="C1" s="3"/>
      <c r="D1" s="3"/>
      <c r="E1" s="4" t="s">
        <v>0</v>
      </c>
      <c r="F1" s="5" t="s">
        <v>30</v>
      </c>
      <c r="G1" s="5"/>
      <c r="H1" s="4" t="s">
        <v>27</v>
      </c>
      <c r="I1" s="4" t="s">
        <v>28</v>
      </c>
      <c r="J1" s="6" t="s">
        <v>29</v>
      </c>
      <c r="K1" s="6" t="s">
        <v>32</v>
      </c>
      <c r="L1" s="6" t="s">
        <v>33</v>
      </c>
      <c r="M1" s="6" t="s">
        <v>34</v>
      </c>
      <c r="N1" s="6" t="s">
        <v>35</v>
      </c>
      <c r="O1" s="6" t="s">
        <v>36</v>
      </c>
      <c r="P1" s="6" t="s">
        <v>37</v>
      </c>
      <c r="Q1" s="7" t="s">
        <v>38</v>
      </c>
    </row>
    <row r="2" spans="1:17" x14ac:dyDescent="0.25">
      <c r="A2" s="8" t="s">
        <v>2</v>
      </c>
      <c r="B2" s="8"/>
      <c r="C2" s="8"/>
      <c r="D2" s="8"/>
      <c r="E2" s="9">
        <v>221297.64</v>
      </c>
      <c r="F2" s="10">
        <v>67</v>
      </c>
      <c r="G2" s="10" t="s">
        <v>31</v>
      </c>
      <c r="H2" s="9">
        <v>3302.95</v>
      </c>
      <c r="I2" s="9">
        <v>1438.33</v>
      </c>
      <c r="J2" s="11">
        <v>1740</v>
      </c>
      <c r="K2" s="11">
        <v>0.47</v>
      </c>
      <c r="L2" s="14">
        <f>H2*K2</f>
        <v>1552.3864999999998</v>
      </c>
      <c r="M2" s="2">
        <f>L2*F2</f>
        <v>104009.89549999998</v>
      </c>
      <c r="N2" s="14">
        <f>L2-J2</f>
        <v>-187.61350000000016</v>
      </c>
      <c r="O2" s="2">
        <f>N2*F2</f>
        <v>-12570.10450000001</v>
      </c>
      <c r="P2" s="14">
        <f>N2-118</f>
        <v>-305.61350000000016</v>
      </c>
      <c r="Q2">
        <f>P2*F2</f>
        <v>-20476.104500000012</v>
      </c>
    </row>
    <row r="3" spans="1:17" x14ac:dyDescent="0.25">
      <c r="A3" s="8" t="s">
        <v>3</v>
      </c>
      <c r="B3" s="8"/>
      <c r="C3" s="8"/>
      <c r="D3" s="8"/>
      <c r="E3" s="9">
        <v>22184</v>
      </c>
      <c r="F3" s="10">
        <v>4</v>
      </c>
      <c r="G3" s="10" t="s">
        <v>31</v>
      </c>
      <c r="H3" s="9">
        <v>5546</v>
      </c>
      <c r="I3" s="9">
        <v>144.19999999999999</v>
      </c>
      <c r="J3" s="12">
        <v>1878</v>
      </c>
      <c r="K3" s="11">
        <v>0.47</v>
      </c>
      <c r="L3" s="14">
        <f t="shared" ref="L3:L66" si="0">H3*K3</f>
        <v>2606.62</v>
      </c>
      <c r="M3" s="2">
        <f t="shared" ref="M3:M66" si="1">L3*F3</f>
        <v>10426.48</v>
      </c>
      <c r="N3" s="14">
        <f t="shared" ref="N3:N66" si="2">L3-J3</f>
        <v>728.61999999999989</v>
      </c>
      <c r="O3" s="2">
        <f t="shared" ref="O3:O66" si="3">N3*F3</f>
        <v>2914.4799999999996</v>
      </c>
      <c r="P3" s="14">
        <f t="shared" ref="P3:P66" si="4">N3-118</f>
        <v>610.61999999999989</v>
      </c>
      <c r="Q3">
        <f t="shared" ref="Q3:Q66" si="5">P3*F3</f>
        <v>2442.4799999999996</v>
      </c>
    </row>
    <row r="4" spans="1:17" x14ac:dyDescent="0.25">
      <c r="A4" s="8" t="s">
        <v>3</v>
      </c>
      <c r="B4" s="8"/>
      <c r="C4" s="8"/>
      <c r="D4" s="8"/>
      <c r="E4" s="9">
        <v>4027</v>
      </c>
      <c r="F4" s="10">
        <v>1</v>
      </c>
      <c r="G4" s="10" t="s">
        <v>31</v>
      </c>
      <c r="H4" s="9">
        <v>4027</v>
      </c>
      <c r="I4" s="9">
        <v>26.18</v>
      </c>
      <c r="J4" s="12">
        <v>1878</v>
      </c>
      <c r="K4" s="11">
        <v>0.47</v>
      </c>
      <c r="L4" s="14">
        <f t="shared" si="0"/>
        <v>1892.6899999999998</v>
      </c>
      <c r="M4" s="2">
        <f t="shared" si="1"/>
        <v>1892.6899999999998</v>
      </c>
      <c r="N4" s="14">
        <f t="shared" si="2"/>
        <v>14.689999999999827</v>
      </c>
      <c r="O4" s="2">
        <f t="shared" si="3"/>
        <v>14.689999999999827</v>
      </c>
      <c r="P4" s="14">
        <f t="shared" si="4"/>
        <v>-103.31000000000017</v>
      </c>
      <c r="Q4">
        <f t="shared" si="5"/>
        <v>-103.31000000000017</v>
      </c>
    </row>
    <row r="5" spans="1:17" x14ac:dyDescent="0.25">
      <c r="A5" s="8" t="s">
        <v>3</v>
      </c>
      <c r="B5" s="8"/>
      <c r="C5" s="8"/>
      <c r="D5" s="8"/>
      <c r="E5" s="9">
        <v>17508</v>
      </c>
      <c r="F5" s="10">
        <v>4</v>
      </c>
      <c r="G5" s="10" t="s">
        <v>31</v>
      </c>
      <c r="H5" s="9">
        <v>4377</v>
      </c>
      <c r="I5" s="9">
        <v>113.8</v>
      </c>
      <c r="J5" s="12">
        <v>1878</v>
      </c>
      <c r="K5" s="11">
        <v>0.47</v>
      </c>
      <c r="L5" s="14">
        <f t="shared" si="0"/>
        <v>2057.19</v>
      </c>
      <c r="M5" s="2">
        <f t="shared" si="1"/>
        <v>8228.76</v>
      </c>
      <c r="N5" s="14">
        <f t="shared" si="2"/>
        <v>179.19000000000005</v>
      </c>
      <c r="O5" s="2">
        <f t="shared" si="3"/>
        <v>716.76000000000022</v>
      </c>
      <c r="P5" s="14">
        <f t="shared" si="4"/>
        <v>61.190000000000055</v>
      </c>
      <c r="Q5">
        <f t="shared" si="5"/>
        <v>244.76000000000022</v>
      </c>
    </row>
    <row r="6" spans="1:17" x14ac:dyDescent="0.25">
      <c r="A6" s="8" t="s">
        <v>3</v>
      </c>
      <c r="B6" s="8"/>
      <c r="C6" s="8"/>
      <c r="D6" s="8"/>
      <c r="E6" s="9">
        <v>196690.32</v>
      </c>
      <c r="F6" s="10">
        <v>50</v>
      </c>
      <c r="G6" s="10" t="s">
        <v>31</v>
      </c>
      <c r="H6" s="9">
        <v>3933.81</v>
      </c>
      <c r="I6" s="9">
        <v>1278.45</v>
      </c>
      <c r="J6" s="11">
        <v>1878</v>
      </c>
      <c r="K6" s="11">
        <v>0.47</v>
      </c>
      <c r="L6" s="14">
        <f t="shared" si="0"/>
        <v>1848.8906999999999</v>
      </c>
      <c r="M6" s="2">
        <f t="shared" si="1"/>
        <v>92444.535000000003</v>
      </c>
      <c r="N6" s="14">
        <f t="shared" si="2"/>
        <v>-29.109300000000076</v>
      </c>
      <c r="O6" s="2">
        <f t="shared" si="3"/>
        <v>-1455.4650000000038</v>
      </c>
      <c r="P6" s="14">
        <f t="shared" si="4"/>
        <v>-147.10930000000008</v>
      </c>
      <c r="Q6">
        <f t="shared" si="5"/>
        <v>-7355.4650000000038</v>
      </c>
    </row>
    <row r="7" spans="1:17" x14ac:dyDescent="0.25">
      <c r="A7" s="8" t="s">
        <v>4</v>
      </c>
      <c r="B7" s="8"/>
      <c r="C7" s="8"/>
      <c r="D7" s="8"/>
      <c r="E7" s="9">
        <v>1335.24</v>
      </c>
      <c r="F7" s="10">
        <v>1</v>
      </c>
      <c r="G7" s="10" t="s">
        <v>31</v>
      </c>
      <c r="H7" s="9">
        <v>1335.24</v>
      </c>
      <c r="I7" s="9">
        <v>25051</v>
      </c>
      <c r="J7" s="12">
        <v>471</v>
      </c>
      <c r="K7" s="11">
        <v>0.47</v>
      </c>
      <c r="L7" s="14">
        <f t="shared" si="0"/>
        <v>627.56279999999992</v>
      </c>
      <c r="M7" s="2">
        <f t="shared" si="1"/>
        <v>627.56279999999992</v>
      </c>
      <c r="N7" s="14">
        <f t="shared" si="2"/>
        <v>156.56279999999992</v>
      </c>
      <c r="O7" s="2">
        <f t="shared" si="3"/>
        <v>156.56279999999992</v>
      </c>
      <c r="P7" s="14">
        <f t="shared" si="4"/>
        <v>38.562799999999925</v>
      </c>
      <c r="Q7">
        <f t="shared" si="5"/>
        <v>38.562799999999925</v>
      </c>
    </row>
    <row r="8" spans="1:17" x14ac:dyDescent="0.25">
      <c r="A8" s="8" t="s">
        <v>5</v>
      </c>
      <c r="B8" s="8"/>
      <c r="C8" s="8"/>
      <c r="D8" s="8"/>
      <c r="E8" s="9">
        <v>1159</v>
      </c>
      <c r="F8" s="10">
        <v>1</v>
      </c>
      <c r="G8" s="10" t="s">
        <v>31</v>
      </c>
      <c r="H8" s="9">
        <v>1159</v>
      </c>
      <c r="I8" s="9">
        <v>19541</v>
      </c>
      <c r="J8" s="12">
        <v>560</v>
      </c>
      <c r="K8" s="11">
        <v>0.47</v>
      </c>
      <c r="L8" s="14">
        <f t="shared" si="0"/>
        <v>544.73</v>
      </c>
      <c r="M8" s="2">
        <f t="shared" si="1"/>
        <v>544.73</v>
      </c>
      <c r="N8" s="14">
        <f t="shared" si="2"/>
        <v>-15.269999999999982</v>
      </c>
      <c r="O8" s="2">
        <f t="shared" si="3"/>
        <v>-15.269999999999982</v>
      </c>
      <c r="P8" s="14">
        <f t="shared" si="4"/>
        <v>-133.26999999999998</v>
      </c>
      <c r="Q8">
        <f t="shared" si="5"/>
        <v>-133.26999999999998</v>
      </c>
    </row>
    <row r="9" spans="1:17" x14ac:dyDescent="0.25">
      <c r="A9" s="8" t="s">
        <v>5</v>
      </c>
      <c r="B9" s="8"/>
      <c r="C9" s="8"/>
      <c r="D9" s="8"/>
      <c r="E9" s="9">
        <v>1177</v>
      </c>
      <c r="F9" s="10">
        <v>1</v>
      </c>
      <c r="G9" s="10" t="s">
        <v>31</v>
      </c>
      <c r="H9" s="9">
        <v>1177</v>
      </c>
      <c r="I9" s="9">
        <v>23924</v>
      </c>
      <c r="J9" s="12">
        <v>560</v>
      </c>
      <c r="K9" s="11">
        <v>0.47</v>
      </c>
      <c r="L9" s="14">
        <f t="shared" si="0"/>
        <v>553.18999999999994</v>
      </c>
      <c r="M9" s="2">
        <f t="shared" si="1"/>
        <v>553.18999999999994</v>
      </c>
      <c r="N9" s="14">
        <f t="shared" si="2"/>
        <v>-6.8100000000000591</v>
      </c>
      <c r="O9" s="2">
        <f t="shared" si="3"/>
        <v>-6.8100000000000591</v>
      </c>
      <c r="P9" s="14">
        <f t="shared" si="4"/>
        <v>-124.81000000000006</v>
      </c>
      <c r="Q9">
        <f t="shared" si="5"/>
        <v>-124.81000000000006</v>
      </c>
    </row>
    <row r="10" spans="1:17" x14ac:dyDescent="0.25">
      <c r="A10" s="8" t="s">
        <v>5</v>
      </c>
      <c r="B10" s="8"/>
      <c r="C10" s="8"/>
      <c r="D10" s="8"/>
      <c r="E10" s="9">
        <v>28755.24</v>
      </c>
      <c r="F10" s="10">
        <v>26</v>
      </c>
      <c r="G10" s="10" t="s">
        <v>31</v>
      </c>
      <c r="H10" s="9">
        <v>1105.97</v>
      </c>
      <c r="I10" s="9">
        <v>186.93</v>
      </c>
      <c r="J10" s="12">
        <v>560</v>
      </c>
      <c r="K10" s="11">
        <v>0.47</v>
      </c>
      <c r="L10" s="14">
        <f t="shared" si="0"/>
        <v>519.80589999999995</v>
      </c>
      <c r="M10" s="2">
        <f t="shared" si="1"/>
        <v>13514.953399999999</v>
      </c>
      <c r="N10" s="14">
        <f t="shared" si="2"/>
        <v>-40.194100000000049</v>
      </c>
      <c r="O10" s="2">
        <f t="shared" si="3"/>
        <v>-1045.0466000000013</v>
      </c>
      <c r="P10" s="14">
        <f t="shared" si="4"/>
        <v>-158.19410000000005</v>
      </c>
      <c r="Q10">
        <f t="shared" si="5"/>
        <v>-4113.0466000000015</v>
      </c>
    </row>
    <row r="11" spans="1:17" x14ac:dyDescent="0.25">
      <c r="A11" s="8" t="s">
        <v>6</v>
      </c>
      <c r="B11" s="8"/>
      <c r="C11" s="8"/>
      <c r="D11" s="8"/>
      <c r="E11" s="9">
        <v>2477</v>
      </c>
      <c r="F11" s="10">
        <v>1</v>
      </c>
      <c r="G11" s="10" t="s">
        <v>31</v>
      </c>
      <c r="H11" s="9">
        <v>2477</v>
      </c>
      <c r="I11" s="9">
        <v>46038</v>
      </c>
      <c r="J11" s="12">
        <v>1016</v>
      </c>
      <c r="K11" s="11">
        <v>0.47</v>
      </c>
      <c r="L11" s="14">
        <f t="shared" si="0"/>
        <v>1164.1899999999998</v>
      </c>
      <c r="M11" s="2">
        <f t="shared" si="1"/>
        <v>1164.1899999999998</v>
      </c>
      <c r="N11" s="14">
        <f t="shared" si="2"/>
        <v>148.18999999999983</v>
      </c>
      <c r="O11" s="2">
        <f t="shared" si="3"/>
        <v>148.18999999999983</v>
      </c>
      <c r="P11" s="14">
        <f t="shared" si="4"/>
        <v>30.189999999999827</v>
      </c>
      <c r="Q11">
        <f t="shared" si="5"/>
        <v>30.189999999999827</v>
      </c>
    </row>
    <row r="12" spans="1:17" x14ac:dyDescent="0.25">
      <c r="A12" s="8" t="s">
        <v>6</v>
      </c>
      <c r="B12" s="8"/>
      <c r="C12" s="8"/>
      <c r="D12" s="8"/>
      <c r="E12" s="9">
        <v>2671</v>
      </c>
      <c r="F12" s="10">
        <v>1</v>
      </c>
      <c r="G12" s="10" t="s">
        <v>31</v>
      </c>
      <c r="H12" s="9">
        <v>2671</v>
      </c>
      <c r="I12" s="9">
        <v>17.36</v>
      </c>
      <c r="J12" s="12">
        <v>1016</v>
      </c>
      <c r="K12" s="11">
        <v>0.47</v>
      </c>
      <c r="L12" s="14">
        <f t="shared" si="0"/>
        <v>1255.3699999999999</v>
      </c>
      <c r="M12" s="2">
        <f t="shared" si="1"/>
        <v>1255.3699999999999</v>
      </c>
      <c r="N12" s="14">
        <f t="shared" si="2"/>
        <v>239.36999999999989</v>
      </c>
      <c r="O12" s="2">
        <f t="shared" si="3"/>
        <v>239.36999999999989</v>
      </c>
      <c r="P12" s="14">
        <f t="shared" si="4"/>
        <v>121.36999999999989</v>
      </c>
      <c r="Q12">
        <f t="shared" si="5"/>
        <v>121.36999999999989</v>
      </c>
    </row>
    <row r="13" spans="1:17" x14ac:dyDescent="0.25">
      <c r="A13" s="8" t="s">
        <v>6</v>
      </c>
      <c r="B13" s="8"/>
      <c r="C13" s="8"/>
      <c r="D13" s="8"/>
      <c r="E13" s="9">
        <v>12341.55</v>
      </c>
      <c r="F13" s="10">
        <v>6</v>
      </c>
      <c r="G13" s="10" t="s">
        <v>31</v>
      </c>
      <c r="H13" s="9">
        <v>2056.9299999999998</v>
      </c>
      <c r="I13" s="9">
        <v>80.209999999999994</v>
      </c>
      <c r="J13" s="12">
        <v>1016</v>
      </c>
      <c r="K13" s="11">
        <v>0.47</v>
      </c>
      <c r="L13" s="14">
        <f t="shared" si="0"/>
        <v>966.75709999999992</v>
      </c>
      <c r="M13" s="2">
        <f t="shared" si="1"/>
        <v>5800.5425999999998</v>
      </c>
      <c r="N13" s="14">
        <f t="shared" si="2"/>
        <v>-49.242900000000077</v>
      </c>
      <c r="O13" s="2">
        <f t="shared" si="3"/>
        <v>-295.45740000000046</v>
      </c>
      <c r="P13" s="14">
        <f t="shared" si="4"/>
        <v>-167.24290000000008</v>
      </c>
      <c r="Q13">
        <f t="shared" si="5"/>
        <v>-1003.4574000000005</v>
      </c>
    </row>
    <row r="14" spans="1:17" x14ac:dyDescent="0.25">
      <c r="A14" s="8" t="s">
        <v>7</v>
      </c>
      <c r="B14" s="8"/>
      <c r="C14" s="8"/>
      <c r="D14" s="8"/>
      <c r="E14" s="9">
        <v>3051</v>
      </c>
      <c r="F14" s="10">
        <v>1</v>
      </c>
      <c r="G14" s="10" t="s">
        <v>31</v>
      </c>
      <c r="H14" s="9">
        <v>3051</v>
      </c>
      <c r="I14" s="9">
        <v>19.829999999999998</v>
      </c>
      <c r="J14" s="12">
        <v>713</v>
      </c>
      <c r="K14" s="11">
        <v>0.47</v>
      </c>
      <c r="L14" s="14">
        <f t="shared" si="0"/>
        <v>1433.97</v>
      </c>
      <c r="M14" s="2">
        <f t="shared" si="1"/>
        <v>1433.97</v>
      </c>
      <c r="N14" s="14">
        <f t="shared" si="2"/>
        <v>720.97</v>
      </c>
      <c r="O14" s="2">
        <f t="shared" si="3"/>
        <v>720.97</v>
      </c>
      <c r="P14" s="14">
        <f t="shared" si="4"/>
        <v>602.97</v>
      </c>
      <c r="Q14">
        <f t="shared" si="5"/>
        <v>602.97</v>
      </c>
    </row>
    <row r="15" spans="1:17" x14ac:dyDescent="0.25">
      <c r="A15" s="8" t="s">
        <v>7</v>
      </c>
      <c r="B15" s="8"/>
      <c r="C15" s="8"/>
      <c r="D15" s="8"/>
      <c r="E15" s="9">
        <v>5870</v>
      </c>
      <c r="F15" s="10">
        <v>2</v>
      </c>
      <c r="G15" s="10" t="s">
        <v>31</v>
      </c>
      <c r="H15" s="9">
        <v>2935</v>
      </c>
      <c r="I15" s="9">
        <v>38.159999999999997</v>
      </c>
      <c r="J15" s="12">
        <v>713</v>
      </c>
      <c r="K15" s="11">
        <v>0.47</v>
      </c>
      <c r="L15" s="14">
        <f t="shared" si="0"/>
        <v>1379.4499999999998</v>
      </c>
      <c r="M15" s="2">
        <f t="shared" si="1"/>
        <v>2758.8999999999996</v>
      </c>
      <c r="N15" s="14">
        <f t="shared" si="2"/>
        <v>666.44999999999982</v>
      </c>
      <c r="O15" s="2">
        <f t="shared" si="3"/>
        <v>1332.8999999999996</v>
      </c>
      <c r="P15" s="14">
        <f t="shared" si="4"/>
        <v>548.44999999999982</v>
      </c>
      <c r="Q15">
        <f t="shared" si="5"/>
        <v>1096.8999999999996</v>
      </c>
    </row>
    <row r="16" spans="1:17" x14ac:dyDescent="0.25">
      <c r="A16" s="8" t="s">
        <v>7</v>
      </c>
      <c r="B16" s="8"/>
      <c r="C16" s="8"/>
      <c r="D16" s="8"/>
      <c r="E16" s="9">
        <v>9105</v>
      </c>
      <c r="F16" s="10">
        <v>3</v>
      </c>
      <c r="G16" s="10" t="s">
        <v>31</v>
      </c>
      <c r="H16" s="9">
        <v>3035</v>
      </c>
      <c r="I16" s="9">
        <v>59.19</v>
      </c>
      <c r="J16" s="12">
        <v>713</v>
      </c>
      <c r="K16" s="11">
        <v>0.47</v>
      </c>
      <c r="L16" s="14">
        <f t="shared" si="0"/>
        <v>1426.4499999999998</v>
      </c>
      <c r="M16" s="2">
        <f t="shared" si="1"/>
        <v>4279.3499999999995</v>
      </c>
      <c r="N16" s="14">
        <f t="shared" si="2"/>
        <v>713.44999999999982</v>
      </c>
      <c r="O16" s="2">
        <f t="shared" si="3"/>
        <v>2140.3499999999995</v>
      </c>
      <c r="P16" s="14">
        <f t="shared" si="4"/>
        <v>595.44999999999982</v>
      </c>
      <c r="Q16">
        <f t="shared" si="5"/>
        <v>1786.3499999999995</v>
      </c>
    </row>
    <row r="17" spans="1:17" x14ac:dyDescent="0.25">
      <c r="A17" s="8" t="s">
        <v>7</v>
      </c>
      <c r="B17" s="8"/>
      <c r="C17" s="8"/>
      <c r="D17" s="8"/>
      <c r="E17" s="9">
        <v>113219.18</v>
      </c>
      <c r="F17" s="10">
        <v>59</v>
      </c>
      <c r="G17" s="10" t="s">
        <v>31</v>
      </c>
      <c r="H17" s="9">
        <v>1918.97</v>
      </c>
      <c r="I17" s="9">
        <v>735.97</v>
      </c>
      <c r="J17" s="12">
        <v>713</v>
      </c>
      <c r="K17" s="11">
        <v>0.47</v>
      </c>
      <c r="L17" s="14">
        <f t="shared" si="0"/>
        <v>901.91589999999997</v>
      </c>
      <c r="M17" s="2">
        <f t="shared" si="1"/>
        <v>53213.038099999998</v>
      </c>
      <c r="N17" s="14">
        <f t="shared" si="2"/>
        <v>188.91589999999997</v>
      </c>
      <c r="O17" s="2">
        <f t="shared" si="3"/>
        <v>11146.038099999998</v>
      </c>
      <c r="P17" s="14">
        <f t="shared" si="4"/>
        <v>70.915899999999965</v>
      </c>
      <c r="Q17">
        <f t="shared" si="5"/>
        <v>4184.0380999999979</v>
      </c>
    </row>
    <row r="18" spans="1:17" x14ac:dyDescent="0.25">
      <c r="A18" s="8" t="s">
        <v>8</v>
      </c>
      <c r="B18" s="8"/>
      <c r="C18" s="8"/>
      <c r="D18" s="8"/>
      <c r="E18" s="9">
        <v>7702</v>
      </c>
      <c r="F18" s="10">
        <v>2</v>
      </c>
      <c r="G18" s="10" t="s">
        <v>31</v>
      </c>
      <c r="H18" s="9">
        <v>3851</v>
      </c>
      <c r="I18" s="9">
        <v>50.06</v>
      </c>
      <c r="J18" s="12">
        <v>1082</v>
      </c>
      <c r="K18" s="11">
        <v>0.47</v>
      </c>
      <c r="L18" s="14">
        <f t="shared" si="0"/>
        <v>1809.9699999999998</v>
      </c>
      <c r="M18" s="2">
        <f t="shared" si="1"/>
        <v>3619.9399999999996</v>
      </c>
      <c r="N18" s="14">
        <f t="shared" si="2"/>
        <v>727.9699999999998</v>
      </c>
      <c r="O18" s="2">
        <f t="shared" si="3"/>
        <v>1455.9399999999996</v>
      </c>
      <c r="P18" s="14">
        <f t="shared" si="4"/>
        <v>609.9699999999998</v>
      </c>
      <c r="Q18">
        <f t="shared" si="5"/>
        <v>1219.9399999999996</v>
      </c>
    </row>
    <row r="19" spans="1:17" x14ac:dyDescent="0.25">
      <c r="A19" s="8" t="s">
        <v>8</v>
      </c>
      <c r="B19" s="8"/>
      <c r="C19" s="8"/>
      <c r="D19" s="8"/>
      <c r="E19" s="9">
        <v>2645</v>
      </c>
      <c r="F19" s="10">
        <v>1</v>
      </c>
      <c r="G19" s="10" t="s">
        <v>31</v>
      </c>
      <c r="H19" s="9">
        <v>2645</v>
      </c>
      <c r="I19" s="9">
        <v>17.190000000000001</v>
      </c>
      <c r="J19" s="12">
        <v>1082</v>
      </c>
      <c r="K19" s="11">
        <v>0.47</v>
      </c>
      <c r="L19" s="14">
        <f t="shared" si="0"/>
        <v>1243.1499999999999</v>
      </c>
      <c r="M19" s="2">
        <f t="shared" si="1"/>
        <v>1243.1499999999999</v>
      </c>
      <c r="N19" s="14">
        <f t="shared" si="2"/>
        <v>161.14999999999986</v>
      </c>
      <c r="O19" s="2">
        <f t="shared" si="3"/>
        <v>161.14999999999986</v>
      </c>
      <c r="P19" s="14">
        <f t="shared" si="4"/>
        <v>43.149999999999864</v>
      </c>
      <c r="Q19">
        <f t="shared" si="5"/>
        <v>43.149999999999864</v>
      </c>
    </row>
    <row r="20" spans="1:17" x14ac:dyDescent="0.25">
      <c r="A20" s="8" t="s">
        <v>8</v>
      </c>
      <c r="B20" s="8"/>
      <c r="C20" s="8"/>
      <c r="D20" s="8"/>
      <c r="E20" s="9">
        <v>168047.05</v>
      </c>
      <c r="F20" s="10">
        <v>75</v>
      </c>
      <c r="G20" s="10" t="s">
        <v>31</v>
      </c>
      <c r="H20" s="9">
        <v>2240.63</v>
      </c>
      <c r="I20" s="9">
        <v>1092.3499999999999</v>
      </c>
      <c r="J20" s="12">
        <v>1082</v>
      </c>
      <c r="K20" s="11">
        <v>0.47</v>
      </c>
      <c r="L20" s="14">
        <f t="shared" si="0"/>
        <v>1053.0961</v>
      </c>
      <c r="M20" s="2">
        <f t="shared" si="1"/>
        <v>78982.207500000004</v>
      </c>
      <c r="N20" s="14">
        <f t="shared" si="2"/>
        <v>-28.903900000000021</v>
      </c>
      <c r="O20" s="2">
        <f t="shared" si="3"/>
        <v>-2167.7925000000014</v>
      </c>
      <c r="P20" s="14">
        <f t="shared" si="4"/>
        <v>-146.90390000000002</v>
      </c>
      <c r="Q20">
        <f t="shared" si="5"/>
        <v>-11017.792500000001</v>
      </c>
    </row>
    <row r="21" spans="1:17" x14ac:dyDescent="0.25">
      <c r="A21" s="8" t="s">
        <v>8</v>
      </c>
      <c r="B21" s="8"/>
      <c r="C21" s="8"/>
      <c r="D21" s="8"/>
      <c r="E21" s="9">
        <v>11176</v>
      </c>
      <c r="F21" s="10">
        <v>4</v>
      </c>
      <c r="G21" s="10" t="s">
        <v>31</v>
      </c>
      <c r="H21" s="9">
        <v>2794</v>
      </c>
      <c r="I21" s="9">
        <v>72.64</v>
      </c>
      <c r="J21" s="12">
        <v>1082</v>
      </c>
      <c r="K21" s="11">
        <v>0.47</v>
      </c>
      <c r="L21" s="14">
        <f t="shared" si="0"/>
        <v>1313.1799999999998</v>
      </c>
      <c r="M21" s="2">
        <f t="shared" si="1"/>
        <v>5252.7199999999993</v>
      </c>
      <c r="N21" s="14">
        <f t="shared" si="2"/>
        <v>231.17999999999984</v>
      </c>
      <c r="O21" s="2">
        <f t="shared" si="3"/>
        <v>924.71999999999935</v>
      </c>
      <c r="P21" s="14">
        <f t="shared" si="4"/>
        <v>113.17999999999984</v>
      </c>
      <c r="Q21">
        <f t="shared" si="5"/>
        <v>452.71999999999935</v>
      </c>
    </row>
    <row r="22" spans="1:17" x14ac:dyDescent="0.25">
      <c r="A22" s="8" t="s">
        <v>9</v>
      </c>
      <c r="B22" s="8"/>
      <c r="C22" s="8"/>
      <c r="D22" s="8"/>
      <c r="E22" s="9">
        <v>3170</v>
      </c>
      <c r="F22" s="10">
        <v>1</v>
      </c>
      <c r="G22" s="10" t="s">
        <v>31</v>
      </c>
      <c r="H22" s="9">
        <v>3170</v>
      </c>
      <c r="I22" s="9">
        <v>20.61</v>
      </c>
      <c r="J22" s="12">
        <v>835</v>
      </c>
      <c r="K22" s="11">
        <v>0.47</v>
      </c>
      <c r="L22" s="14">
        <f t="shared" si="0"/>
        <v>1489.8999999999999</v>
      </c>
      <c r="M22" s="2">
        <f t="shared" si="1"/>
        <v>1489.8999999999999</v>
      </c>
      <c r="N22" s="14">
        <f t="shared" si="2"/>
        <v>654.89999999999986</v>
      </c>
      <c r="O22" s="2">
        <f t="shared" si="3"/>
        <v>654.89999999999986</v>
      </c>
      <c r="P22" s="14">
        <f t="shared" si="4"/>
        <v>536.89999999999986</v>
      </c>
      <c r="Q22">
        <f t="shared" si="5"/>
        <v>536.89999999999986</v>
      </c>
    </row>
    <row r="23" spans="1:17" x14ac:dyDescent="0.25">
      <c r="A23" s="8" t="s">
        <v>9</v>
      </c>
      <c r="B23" s="8"/>
      <c r="C23" s="8"/>
      <c r="D23" s="8"/>
      <c r="E23" s="9">
        <v>3034</v>
      </c>
      <c r="F23" s="10">
        <v>1</v>
      </c>
      <c r="G23" s="10" t="s">
        <v>31</v>
      </c>
      <c r="H23" s="9">
        <v>3034</v>
      </c>
      <c r="I23" s="9">
        <v>19.72</v>
      </c>
      <c r="J23" s="12">
        <v>835</v>
      </c>
      <c r="K23" s="11">
        <v>0.47</v>
      </c>
      <c r="L23" s="14">
        <f t="shared" si="0"/>
        <v>1425.98</v>
      </c>
      <c r="M23" s="2">
        <f t="shared" si="1"/>
        <v>1425.98</v>
      </c>
      <c r="N23" s="14">
        <f t="shared" si="2"/>
        <v>590.98</v>
      </c>
      <c r="O23" s="2">
        <f t="shared" si="3"/>
        <v>590.98</v>
      </c>
      <c r="P23" s="14">
        <f t="shared" si="4"/>
        <v>472.98</v>
      </c>
      <c r="Q23">
        <f t="shared" si="5"/>
        <v>472.98</v>
      </c>
    </row>
    <row r="24" spans="1:17" x14ac:dyDescent="0.25">
      <c r="A24" s="8" t="s">
        <v>9</v>
      </c>
      <c r="B24" s="8"/>
      <c r="C24" s="8"/>
      <c r="D24" s="8"/>
      <c r="E24" s="9">
        <v>9684</v>
      </c>
      <c r="F24" s="10">
        <v>4</v>
      </c>
      <c r="G24" s="10" t="s">
        <v>31</v>
      </c>
      <c r="H24" s="9">
        <v>2421</v>
      </c>
      <c r="I24" s="9">
        <v>62.96</v>
      </c>
      <c r="J24" s="12">
        <v>835</v>
      </c>
      <c r="K24" s="11">
        <v>0.47</v>
      </c>
      <c r="L24" s="14">
        <f t="shared" si="0"/>
        <v>1137.8699999999999</v>
      </c>
      <c r="M24" s="2">
        <f t="shared" si="1"/>
        <v>4551.4799999999996</v>
      </c>
      <c r="N24" s="14">
        <f t="shared" si="2"/>
        <v>302.86999999999989</v>
      </c>
      <c r="O24" s="2">
        <f t="shared" si="3"/>
        <v>1211.4799999999996</v>
      </c>
      <c r="P24" s="14">
        <f t="shared" si="4"/>
        <v>184.86999999999989</v>
      </c>
      <c r="Q24">
        <f t="shared" si="5"/>
        <v>739.47999999999956</v>
      </c>
    </row>
    <row r="25" spans="1:17" x14ac:dyDescent="0.25">
      <c r="A25" s="8" t="s">
        <v>9</v>
      </c>
      <c r="B25" s="8"/>
      <c r="C25" s="8"/>
      <c r="D25" s="8"/>
      <c r="E25" s="9">
        <v>13020</v>
      </c>
      <c r="F25" s="10">
        <v>6</v>
      </c>
      <c r="G25" s="10" t="s">
        <v>31</v>
      </c>
      <c r="H25" s="9">
        <v>2170</v>
      </c>
      <c r="I25" s="9">
        <v>84.66</v>
      </c>
      <c r="J25" s="12">
        <v>835</v>
      </c>
      <c r="K25" s="11">
        <v>0.47</v>
      </c>
      <c r="L25" s="14">
        <f t="shared" si="0"/>
        <v>1019.9</v>
      </c>
      <c r="M25" s="2">
        <f t="shared" si="1"/>
        <v>6119.4</v>
      </c>
      <c r="N25" s="14">
        <f t="shared" si="2"/>
        <v>184.89999999999998</v>
      </c>
      <c r="O25" s="2">
        <f t="shared" si="3"/>
        <v>1109.3999999999999</v>
      </c>
      <c r="P25" s="14">
        <f t="shared" si="4"/>
        <v>66.899999999999977</v>
      </c>
      <c r="Q25">
        <f t="shared" si="5"/>
        <v>401.39999999999986</v>
      </c>
    </row>
    <row r="26" spans="1:17" x14ac:dyDescent="0.25">
      <c r="A26" s="8" t="s">
        <v>9</v>
      </c>
      <c r="B26" s="8"/>
      <c r="C26" s="8"/>
      <c r="D26" s="8"/>
      <c r="E26" s="9">
        <v>105941.54</v>
      </c>
      <c r="F26" s="10">
        <v>45</v>
      </c>
      <c r="G26" s="10" t="s">
        <v>31</v>
      </c>
      <c r="H26" s="9">
        <v>2354.2600000000002</v>
      </c>
      <c r="I26" s="9">
        <v>688.66</v>
      </c>
      <c r="J26" s="12">
        <v>835</v>
      </c>
      <c r="K26" s="11">
        <v>0.47</v>
      </c>
      <c r="L26" s="14">
        <f t="shared" si="0"/>
        <v>1106.5022000000001</v>
      </c>
      <c r="M26" s="2">
        <f t="shared" si="1"/>
        <v>49792.599000000009</v>
      </c>
      <c r="N26" s="14">
        <f t="shared" si="2"/>
        <v>271.50220000000013</v>
      </c>
      <c r="O26" s="2">
        <f t="shared" si="3"/>
        <v>12217.599000000006</v>
      </c>
      <c r="P26" s="14">
        <f t="shared" si="4"/>
        <v>153.50220000000013</v>
      </c>
      <c r="Q26">
        <f t="shared" si="5"/>
        <v>6907.5990000000056</v>
      </c>
    </row>
    <row r="27" spans="1:17" x14ac:dyDescent="0.25">
      <c r="A27" s="8" t="s">
        <v>10</v>
      </c>
      <c r="B27" s="8"/>
      <c r="C27" s="8"/>
      <c r="D27" s="8"/>
      <c r="E27" s="9">
        <v>2341</v>
      </c>
      <c r="F27" s="10">
        <v>1</v>
      </c>
      <c r="G27" s="10" t="s">
        <v>31</v>
      </c>
      <c r="H27" s="9">
        <v>2341</v>
      </c>
      <c r="I27" s="9">
        <v>15.22</v>
      </c>
      <c r="J27" s="12">
        <v>590</v>
      </c>
      <c r="K27" s="11">
        <v>0.47</v>
      </c>
      <c r="L27" s="14">
        <f t="shared" si="0"/>
        <v>1100.27</v>
      </c>
      <c r="M27" s="2">
        <f t="shared" si="1"/>
        <v>1100.27</v>
      </c>
      <c r="N27" s="14">
        <f t="shared" si="2"/>
        <v>510.27</v>
      </c>
      <c r="O27" s="2">
        <f t="shared" si="3"/>
        <v>510.27</v>
      </c>
      <c r="P27" s="14">
        <f t="shared" si="4"/>
        <v>392.27</v>
      </c>
      <c r="Q27">
        <f t="shared" si="5"/>
        <v>392.27</v>
      </c>
    </row>
    <row r="28" spans="1:17" x14ac:dyDescent="0.25">
      <c r="A28" s="8" t="s">
        <v>10</v>
      </c>
      <c r="B28" s="8"/>
      <c r="C28" s="8"/>
      <c r="D28" s="8"/>
      <c r="E28" s="9">
        <v>4876</v>
      </c>
      <c r="F28" s="10">
        <v>2</v>
      </c>
      <c r="G28" s="10" t="s">
        <v>31</v>
      </c>
      <c r="H28" s="9">
        <v>2438</v>
      </c>
      <c r="I28" s="9">
        <v>46234</v>
      </c>
      <c r="J28" s="12">
        <v>590</v>
      </c>
      <c r="K28" s="11">
        <v>0.47</v>
      </c>
      <c r="L28" s="14">
        <f t="shared" si="0"/>
        <v>1145.8599999999999</v>
      </c>
      <c r="M28" s="2">
        <f t="shared" si="1"/>
        <v>2291.7199999999998</v>
      </c>
      <c r="N28" s="14">
        <f t="shared" si="2"/>
        <v>555.8599999999999</v>
      </c>
      <c r="O28" s="2">
        <f t="shared" si="3"/>
        <v>1111.7199999999998</v>
      </c>
      <c r="P28" s="14">
        <f t="shared" si="4"/>
        <v>437.8599999999999</v>
      </c>
      <c r="Q28">
        <f t="shared" si="5"/>
        <v>875.7199999999998</v>
      </c>
    </row>
    <row r="29" spans="1:17" x14ac:dyDescent="0.25">
      <c r="A29" s="8" t="s">
        <v>10</v>
      </c>
      <c r="B29" s="8"/>
      <c r="C29" s="8"/>
      <c r="D29" s="8"/>
      <c r="E29" s="9">
        <v>3908</v>
      </c>
      <c r="F29" s="10">
        <v>4</v>
      </c>
      <c r="G29" s="10" t="s">
        <v>31</v>
      </c>
      <c r="H29" s="9">
        <v>977</v>
      </c>
      <c r="I29" s="9">
        <v>46137</v>
      </c>
      <c r="J29" s="12">
        <v>590</v>
      </c>
      <c r="K29" s="11">
        <v>0.47</v>
      </c>
      <c r="L29" s="14">
        <f t="shared" si="0"/>
        <v>459.19</v>
      </c>
      <c r="M29" s="2">
        <f t="shared" si="1"/>
        <v>1836.76</v>
      </c>
      <c r="N29" s="14">
        <f t="shared" si="2"/>
        <v>-130.81</v>
      </c>
      <c r="O29" s="2">
        <f t="shared" si="3"/>
        <v>-523.24</v>
      </c>
      <c r="P29" s="14">
        <f t="shared" si="4"/>
        <v>-248.81</v>
      </c>
      <c r="Q29">
        <f t="shared" si="5"/>
        <v>-995.24</v>
      </c>
    </row>
    <row r="30" spans="1:17" x14ac:dyDescent="0.25">
      <c r="A30" s="8" t="s">
        <v>10</v>
      </c>
      <c r="B30" s="8"/>
      <c r="C30" s="8"/>
      <c r="D30" s="8"/>
      <c r="E30" s="9">
        <v>4132</v>
      </c>
      <c r="F30" s="10">
        <v>4</v>
      </c>
      <c r="G30" s="10" t="s">
        <v>31</v>
      </c>
      <c r="H30" s="9">
        <v>1033</v>
      </c>
      <c r="I30" s="9">
        <v>26.84</v>
      </c>
      <c r="J30" s="12">
        <v>590</v>
      </c>
      <c r="K30" s="11">
        <v>0.47</v>
      </c>
      <c r="L30" s="14">
        <f t="shared" si="0"/>
        <v>485.51</v>
      </c>
      <c r="M30" s="2">
        <f t="shared" si="1"/>
        <v>1942.04</v>
      </c>
      <c r="N30" s="14">
        <f t="shared" si="2"/>
        <v>-104.49000000000001</v>
      </c>
      <c r="O30" s="2">
        <f t="shared" si="3"/>
        <v>-417.96000000000004</v>
      </c>
      <c r="P30" s="14">
        <f t="shared" si="4"/>
        <v>-222.49</v>
      </c>
      <c r="Q30">
        <f t="shared" si="5"/>
        <v>-889.96</v>
      </c>
    </row>
    <row r="31" spans="1:17" x14ac:dyDescent="0.25">
      <c r="A31" s="8" t="s">
        <v>10</v>
      </c>
      <c r="B31" s="8"/>
      <c r="C31" s="8"/>
      <c r="D31" s="8"/>
      <c r="E31" s="9">
        <v>21900</v>
      </c>
      <c r="F31" s="10">
        <v>20</v>
      </c>
      <c r="G31" s="10" t="s">
        <v>31</v>
      </c>
      <c r="H31" s="9">
        <v>1095</v>
      </c>
      <c r="I31" s="9">
        <v>142.4</v>
      </c>
      <c r="J31" s="12">
        <v>590</v>
      </c>
      <c r="K31" s="11">
        <v>0.47</v>
      </c>
      <c r="L31" s="14">
        <f t="shared" si="0"/>
        <v>514.65</v>
      </c>
      <c r="M31" s="2">
        <f t="shared" si="1"/>
        <v>10293</v>
      </c>
      <c r="N31" s="14">
        <f t="shared" si="2"/>
        <v>-75.350000000000023</v>
      </c>
      <c r="O31" s="2">
        <f t="shared" si="3"/>
        <v>-1507.0000000000005</v>
      </c>
      <c r="P31" s="14">
        <f t="shared" si="4"/>
        <v>-193.35000000000002</v>
      </c>
      <c r="Q31">
        <f t="shared" si="5"/>
        <v>-3867.0000000000005</v>
      </c>
    </row>
    <row r="32" spans="1:17" x14ac:dyDescent="0.25">
      <c r="A32" s="8" t="s">
        <v>10</v>
      </c>
      <c r="B32" s="8"/>
      <c r="C32" s="8"/>
      <c r="D32" s="8"/>
      <c r="E32" s="9">
        <v>71486.570000000007</v>
      </c>
      <c r="F32" s="10">
        <v>58</v>
      </c>
      <c r="G32" s="10" t="s">
        <v>31</v>
      </c>
      <c r="H32" s="9">
        <v>1232.53</v>
      </c>
      <c r="I32" s="9">
        <v>464.67</v>
      </c>
      <c r="J32" s="12">
        <v>590</v>
      </c>
      <c r="K32" s="11">
        <v>0.47</v>
      </c>
      <c r="L32" s="14">
        <f t="shared" si="0"/>
        <v>579.28909999999996</v>
      </c>
      <c r="M32" s="2">
        <f t="shared" si="1"/>
        <v>33598.767800000001</v>
      </c>
      <c r="N32" s="14">
        <f t="shared" si="2"/>
        <v>-10.710900000000038</v>
      </c>
      <c r="O32" s="2">
        <f t="shared" si="3"/>
        <v>-621.23220000000219</v>
      </c>
      <c r="P32" s="14">
        <f t="shared" si="4"/>
        <v>-128.71090000000004</v>
      </c>
      <c r="Q32">
        <f t="shared" si="5"/>
        <v>-7465.2322000000022</v>
      </c>
    </row>
    <row r="33" spans="1:17" x14ac:dyDescent="0.25">
      <c r="A33" s="8" t="s">
        <v>10</v>
      </c>
      <c r="B33" s="8"/>
      <c r="C33" s="8"/>
      <c r="D33" s="8"/>
      <c r="E33" s="9">
        <v>9364</v>
      </c>
      <c r="F33" s="10">
        <v>4</v>
      </c>
      <c r="G33" s="10" t="s">
        <v>31</v>
      </c>
      <c r="H33" s="9">
        <v>2341</v>
      </c>
      <c r="I33" s="9">
        <v>60.88</v>
      </c>
      <c r="J33" s="12">
        <v>590</v>
      </c>
      <c r="K33" s="11">
        <v>0.47</v>
      </c>
      <c r="L33" s="14">
        <f t="shared" si="0"/>
        <v>1100.27</v>
      </c>
      <c r="M33" s="2">
        <f t="shared" si="1"/>
        <v>4401.08</v>
      </c>
      <c r="N33" s="14">
        <f t="shared" si="2"/>
        <v>510.27</v>
      </c>
      <c r="O33" s="2">
        <f t="shared" si="3"/>
        <v>2041.08</v>
      </c>
      <c r="P33" s="14">
        <f t="shared" si="4"/>
        <v>392.27</v>
      </c>
      <c r="Q33">
        <f t="shared" si="5"/>
        <v>1569.08</v>
      </c>
    </row>
    <row r="34" spans="1:17" x14ac:dyDescent="0.25">
      <c r="A34" s="8" t="s">
        <v>10</v>
      </c>
      <c r="B34" s="8"/>
      <c r="C34" s="8"/>
      <c r="D34" s="8"/>
      <c r="E34" s="9">
        <v>75150</v>
      </c>
      <c r="F34" s="10">
        <v>30</v>
      </c>
      <c r="G34" s="10" t="s">
        <v>31</v>
      </c>
      <c r="H34" s="9">
        <v>2505</v>
      </c>
      <c r="I34" s="9">
        <v>488.4</v>
      </c>
      <c r="J34" s="12">
        <v>590</v>
      </c>
      <c r="K34" s="11">
        <v>0.47</v>
      </c>
      <c r="L34" s="14">
        <f t="shared" si="0"/>
        <v>1177.3499999999999</v>
      </c>
      <c r="M34" s="2">
        <f t="shared" si="1"/>
        <v>35320.5</v>
      </c>
      <c r="N34" s="14">
        <f t="shared" si="2"/>
        <v>587.34999999999991</v>
      </c>
      <c r="O34" s="2">
        <f t="shared" si="3"/>
        <v>17620.499999999996</v>
      </c>
      <c r="P34" s="14">
        <f t="shared" si="4"/>
        <v>469.34999999999991</v>
      </c>
      <c r="Q34">
        <f t="shared" si="5"/>
        <v>14080.499999999996</v>
      </c>
    </row>
    <row r="35" spans="1:17" x14ac:dyDescent="0.25">
      <c r="A35" s="8" t="s">
        <v>11</v>
      </c>
      <c r="B35" s="8"/>
      <c r="C35" s="8"/>
      <c r="D35" s="8"/>
      <c r="E35" s="9">
        <v>798</v>
      </c>
      <c r="F35" s="10">
        <v>1</v>
      </c>
      <c r="G35" s="10" t="s">
        <v>31</v>
      </c>
      <c r="H35" s="9">
        <v>798</v>
      </c>
      <c r="I35" s="9">
        <v>43586</v>
      </c>
      <c r="J35" s="11">
        <v>210</v>
      </c>
      <c r="K35" s="11">
        <v>0.47</v>
      </c>
      <c r="L35" s="14">
        <f t="shared" si="0"/>
        <v>375.06</v>
      </c>
      <c r="M35" s="2">
        <f t="shared" si="1"/>
        <v>375.06</v>
      </c>
      <c r="N35" s="14">
        <f t="shared" si="2"/>
        <v>165.06</v>
      </c>
      <c r="O35" s="2">
        <f t="shared" si="3"/>
        <v>165.06</v>
      </c>
      <c r="P35" s="14">
        <f t="shared" si="4"/>
        <v>47.06</v>
      </c>
      <c r="Q35">
        <f t="shared" si="5"/>
        <v>47.06</v>
      </c>
    </row>
    <row r="36" spans="1:17" x14ac:dyDescent="0.25">
      <c r="A36" s="8" t="s">
        <v>11</v>
      </c>
      <c r="B36" s="8"/>
      <c r="C36" s="8"/>
      <c r="D36" s="8"/>
      <c r="E36" s="9">
        <v>762</v>
      </c>
      <c r="F36" s="10">
        <v>1</v>
      </c>
      <c r="G36" s="10" t="s">
        <v>31</v>
      </c>
      <c r="H36" s="9">
        <v>762</v>
      </c>
      <c r="I36" s="9">
        <v>34790</v>
      </c>
      <c r="J36" s="11">
        <v>210</v>
      </c>
      <c r="K36" s="11">
        <v>0.47</v>
      </c>
      <c r="L36" s="14">
        <f t="shared" si="0"/>
        <v>358.14</v>
      </c>
      <c r="M36" s="2">
        <f t="shared" si="1"/>
        <v>358.14</v>
      </c>
      <c r="N36" s="14">
        <f t="shared" si="2"/>
        <v>148.13999999999999</v>
      </c>
      <c r="O36" s="2">
        <f t="shared" si="3"/>
        <v>148.13999999999999</v>
      </c>
      <c r="P36" s="14">
        <f t="shared" si="4"/>
        <v>30.139999999999986</v>
      </c>
      <c r="Q36">
        <f t="shared" si="5"/>
        <v>30.139999999999986</v>
      </c>
    </row>
    <row r="37" spans="1:17" x14ac:dyDescent="0.25">
      <c r="A37" s="8" t="s">
        <v>11</v>
      </c>
      <c r="B37" s="8"/>
      <c r="C37" s="8"/>
      <c r="D37" s="8"/>
      <c r="E37" s="9">
        <v>762</v>
      </c>
      <c r="F37" s="10">
        <v>1</v>
      </c>
      <c r="G37" s="10" t="s">
        <v>31</v>
      </c>
      <c r="H37" s="9">
        <v>762</v>
      </c>
      <c r="I37" s="9">
        <v>34790</v>
      </c>
      <c r="J37" s="11">
        <v>210</v>
      </c>
      <c r="K37" s="11">
        <v>0.47</v>
      </c>
      <c r="L37" s="14">
        <f t="shared" si="0"/>
        <v>358.14</v>
      </c>
      <c r="M37" s="2">
        <f t="shared" si="1"/>
        <v>358.14</v>
      </c>
      <c r="N37" s="14">
        <f t="shared" si="2"/>
        <v>148.13999999999999</v>
      </c>
      <c r="O37" s="2">
        <f t="shared" si="3"/>
        <v>148.13999999999999</v>
      </c>
      <c r="P37" s="14">
        <f t="shared" si="4"/>
        <v>30.139999999999986</v>
      </c>
      <c r="Q37">
        <f t="shared" si="5"/>
        <v>30.139999999999986</v>
      </c>
    </row>
    <row r="38" spans="1:17" x14ac:dyDescent="0.25">
      <c r="A38" s="8" t="s">
        <v>11</v>
      </c>
      <c r="B38" s="8"/>
      <c r="C38" s="8"/>
      <c r="D38" s="8"/>
      <c r="E38" s="9">
        <v>828</v>
      </c>
      <c r="F38" s="10">
        <v>1</v>
      </c>
      <c r="G38" s="10" t="s">
        <v>31</v>
      </c>
      <c r="H38" s="9">
        <v>828</v>
      </c>
      <c r="I38" s="9">
        <v>14001</v>
      </c>
      <c r="J38" s="11">
        <v>210</v>
      </c>
      <c r="K38" s="11">
        <v>0.47</v>
      </c>
      <c r="L38" s="14">
        <f t="shared" si="0"/>
        <v>389.15999999999997</v>
      </c>
      <c r="M38" s="2">
        <f t="shared" si="1"/>
        <v>389.15999999999997</v>
      </c>
      <c r="N38" s="14">
        <f t="shared" si="2"/>
        <v>179.15999999999997</v>
      </c>
      <c r="O38" s="2">
        <f t="shared" si="3"/>
        <v>179.15999999999997</v>
      </c>
      <c r="P38" s="14">
        <f t="shared" si="4"/>
        <v>61.159999999999968</v>
      </c>
      <c r="Q38">
        <f t="shared" si="5"/>
        <v>61.159999999999968</v>
      </c>
    </row>
    <row r="39" spans="1:17" x14ac:dyDescent="0.25">
      <c r="A39" s="8" t="s">
        <v>11</v>
      </c>
      <c r="B39" s="8"/>
      <c r="C39" s="8"/>
      <c r="D39" s="8"/>
      <c r="E39" s="9">
        <v>828</v>
      </c>
      <c r="F39" s="10">
        <v>1</v>
      </c>
      <c r="G39" s="10" t="s">
        <v>31</v>
      </c>
      <c r="H39" s="9">
        <v>828</v>
      </c>
      <c r="I39" s="9">
        <v>14001</v>
      </c>
      <c r="J39" s="11">
        <v>210</v>
      </c>
      <c r="K39" s="11">
        <v>0.47</v>
      </c>
      <c r="L39" s="14">
        <f t="shared" si="0"/>
        <v>389.15999999999997</v>
      </c>
      <c r="M39" s="2">
        <f t="shared" si="1"/>
        <v>389.15999999999997</v>
      </c>
      <c r="N39" s="14">
        <f t="shared" si="2"/>
        <v>179.15999999999997</v>
      </c>
      <c r="O39" s="2">
        <f t="shared" si="3"/>
        <v>179.15999999999997</v>
      </c>
      <c r="P39" s="14">
        <f t="shared" si="4"/>
        <v>61.159999999999968</v>
      </c>
      <c r="Q39">
        <f t="shared" si="5"/>
        <v>61.159999999999968</v>
      </c>
    </row>
    <row r="40" spans="1:17" x14ac:dyDescent="0.25">
      <c r="A40" s="8" t="s">
        <v>11</v>
      </c>
      <c r="B40" s="8"/>
      <c r="C40" s="8"/>
      <c r="D40" s="8"/>
      <c r="E40" s="9">
        <v>1524</v>
      </c>
      <c r="F40" s="10">
        <v>2</v>
      </c>
      <c r="G40" s="10" t="s">
        <v>31</v>
      </c>
      <c r="H40" s="9">
        <v>762</v>
      </c>
      <c r="I40" s="9">
        <v>46274</v>
      </c>
      <c r="J40" s="11">
        <v>210</v>
      </c>
      <c r="K40" s="11">
        <v>0.47</v>
      </c>
      <c r="L40" s="14">
        <f t="shared" si="0"/>
        <v>358.14</v>
      </c>
      <c r="M40" s="2">
        <f t="shared" si="1"/>
        <v>716.28</v>
      </c>
      <c r="N40" s="14">
        <f t="shared" si="2"/>
        <v>148.13999999999999</v>
      </c>
      <c r="O40" s="2">
        <f t="shared" si="3"/>
        <v>296.27999999999997</v>
      </c>
      <c r="P40" s="14">
        <f t="shared" si="4"/>
        <v>30.139999999999986</v>
      </c>
      <c r="Q40">
        <f t="shared" si="5"/>
        <v>60.279999999999973</v>
      </c>
    </row>
    <row r="41" spans="1:17" x14ac:dyDescent="0.25">
      <c r="A41" s="8" t="s">
        <v>11</v>
      </c>
      <c r="B41" s="8"/>
      <c r="C41" s="8"/>
      <c r="D41" s="8"/>
      <c r="E41" s="9">
        <v>26322.85</v>
      </c>
      <c r="F41" s="10">
        <v>38</v>
      </c>
      <c r="G41" s="10" t="s">
        <v>31</v>
      </c>
      <c r="H41" s="9">
        <v>692.71</v>
      </c>
      <c r="I41" s="9">
        <v>171.13</v>
      </c>
      <c r="J41" s="11">
        <v>210</v>
      </c>
      <c r="K41" s="11">
        <v>0.47</v>
      </c>
      <c r="L41" s="14">
        <f t="shared" si="0"/>
        <v>325.57369999999997</v>
      </c>
      <c r="M41" s="2">
        <f t="shared" si="1"/>
        <v>12371.800599999999</v>
      </c>
      <c r="N41" s="14">
        <f t="shared" si="2"/>
        <v>115.57369999999997</v>
      </c>
      <c r="O41" s="2">
        <f t="shared" si="3"/>
        <v>4391.8005999999987</v>
      </c>
      <c r="P41" s="14">
        <f t="shared" si="4"/>
        <v>-2.4263000000000261</v>
      </c>
      <c r="Q41">
        <f t="shared" si="5"/>
        <v>-92.199400000000992</v>
      </c>
    </row>
    <row r="42" spans="1:17" x14ac:dyDescent="0.25">
      <c r="A42" s="8" t="s">
        <v>12</v>
      </c>
      <c r="B42" s="8"/>
      <c r="C42" s="8"/>
      <c r="D42" s="8"/>
      <c r="E42" s="9">
        <v>4462</v>
      </c>
      <c r="F42" s="10">
        <v>1</v>
      </c>
      <c r="G42" s="10" t="s">
        <v>31</v>
      </c>
      <c r="H42" s="9">
        <v>4462</v>
      </c>
      <c r="I42" s="9">
        <v>29</v>
      </c>
      <c r="J42" s="11">
        <v>2266</v>
      </c>
      <c r="K42" s="11">
        <v>0.47</v>
      </c>
      <c r="L42" s="14">
        <f t="shared" si="0"/>
        <v>2097.14</v>
      </c>
      <c r="M42" s="2">
        <f t="shared" si="1"/>
        <v>2097.14</v>
      </c>
      <c r="N42" s="14">
        <f t="shared" si="2"/>
        <v>-168.86000000000013</v>
      </c>
      <c r="O42" s="2">
        <f t="shared" si="3"/>
        <v>-168.86000000000013</v>
      </c>
      <c r="P42" s="14">
        <f t="shared" si="4"/>
        <v>-286.86000000000013</v>
      </c>
      <c r="Q42">
        <f t="shared" si="5"/>
        <v>-286.86000000000013</v>
      </c>
    </row>
    <row r="43" spans="1:17" x14ac:dyDescent="0.25">
      <c r="A43" s="8" t="s">
        <v>12</v>
      </c>
      <c r="B43" s="8"/>
      <c r="C43" s="8"/>
      <c r="D43" s="8"/>
      <c r="E43" s="9">
        <v>4041</v>
      </c>
      <c r="F43" s="10">
        <v>1</v>
      </c>
      <c r="G43" s="10" t="s">
        <v>31</v>
      </c>
      <c r="H43" s="9">
        <v>4041</v>
      </c>
      <c r="I43" s="9">
        <v>26.27</v>
      </c>
      <c r="J43" s="11">
        <v>2266</v>
      </c>
      <c r="K43" s="11">
        <v>0.47</v>
      </c>
      <c r="L43" s="14">
        <f t="shared" si="0"/>
        <v>1899.27</v>
      </c>
      <c r="M43" s="2">
        <f t="shared" si="1"/>
        <v>1899.27</v>
      </c>
      <c r="N43" s="14">
        <f t="shared" si="2"/>
        <v>-366.73</v>
      </c>
      <c r="O43" s="2">
        <f t="shared" si="3"/>
        <v>-366.73</v>
      </c>
      <c r="P43" s="14">
        <f t="shared" si="4"/>
        <v>-484.73</v>
      </c>
      <c r="Q43">
        <f t="shared" si="5"/>
        <v>-484.73</v>
      </c>
    </row>
    <row r="44" spans="1:17" x14ac:dyDescent="0.25">
      <c r="A44" s="8" t="s">
        <v>12</v>
      </c>
      <c r="B44" s="8"/>
      <c r="C44" s="8"/>
      <c r="D44" s="8"/>
      <c r="E44" s="9">
        <v>309722.74</v>
      </c>
      <c r="F44" s="10">
        <v>70</v>
      </c>
      <c r="G44" s="10" t="s">
        <v>31</v>
      </c>
      <c r="H44" s="9">
        <v>4424.6099999999997</v>
      </c>
      <c r="I44" s="9">
        <v>2013.25</v>
      </c>
      <c r="J44" s="11">
        <v>2266</v>
      </c>
      <c r="K44" s="11">
        <v>0.47</v>
      </c>
      <c r="L44" s="14">
        <f t="shared" si="0"/>
        <v>2079.5666999999999</v>
      </c>
      <c r="M44" s="2">
        <f t="shared" si="1"/>
        <v>145569.66899999999</v>
      </c>
      <c r="N44" s="14">
        <f t="shared" si="2"/>
        <v>-186.43330000000014</v>
      </c>
      <c r="O44" s="2">
        <f t="shared" si="3"/>
        <v>-13050.331000000009</v>
      </c>
      <c r="P44" s="14">
        <f t="shared" si="4"/>
        <v>-304.43330000000014</v>
      </c>
      <c r="Q44">
        <f t="shared" si="5"/>
        <v>-21310.331000000009</v>
      </c>
    </row>
    <row r="45" spans="1:17" x14ac:dyDescent="0.25">
      <c r="A45" s="8" t="s">
        <v>12</v>
      </c>
      <c r="B45" s="8"/>
      <c r="C45" s="8"/>
      <c r="D45" s="8"/>
      <c r="E45" s="9">
        <v>13386</v>
      </c>
      <c r="F45" s="10">
        <v>3</v>
      </c>
      <c r="G45" s="10" t="s">
        <v>31</v>
      </c>
      <c r="H45" s="9">
        <v>4462</v>
      </c>
      <c r="I45" s="9">
        <v>87</v>
      </c>
      <c r="J45" s="11">
        <v>2266</v>
      </c>
      <c r="K45" s="11">
        <v>0.47</v>
      </c>
      <c r="L45" s="14">
        <f t="shared" si="0"/>
        <v>2097.14</v>
      </c>
      <c r="M45" s="2">
        <f t="shared" si="1"/>
        <v>6291.42</v>
      </c>
      <c r="N45" s="14">
        <f t="shared" si="2"/>
        <v>-168.86000000000013</v>
      </c>
      <c r="O45" s="2">
        <f t="shared" si="3"/>
        <v>-506.58000000000038</v>
      </c>
      <c r="P45" s="14">
        <f t="shared" si="4"/>
        <v>-286.86000000000013</v>
      </c>
      <c r="Q45">
        <f t="shared" si="5"/>
        <v>-860.58000000000038</v>
      </c>
    </row>
    <row r="46" spans="1:17" x14ac:dyDescent="0.25">
      <c r="A46" s="8" t="s">
        <v>13</v>
      </c>
      <c r="B46" s="8"/>
      <c r="C46" s="8"/>
      <c r="D46" s="8"/>
      <c r="E46" s="9">
        <v>22203.23</v>
      </c>
      <c r="F46" s="10">
        <v>5</v>
      </c>
      <c r="G46" s="10" t="s">
        <v>31</v>
      </c>
      <c r="H46" s="9">
        <v>4440.6499999999996</v>
      </c>
      <c r="I46" s="9">
        <v>144.33000000000001</v>
      </c>
      <c r="J46" s="11">
        <v>2155</v>
      </c>
      <c r="K46" s="11">
        <v>0.47</v>
      </c>
      <c r="L46" s="14">
        <f t="shared" si="0"/>
        <v>2087.1054999999997</v>
      </c>
      <c r="M46" s="2">
        <f t="shared" si="1"/>
        <v>10435.527499999998</v>
      </c>
      <c r="N46" s="14">
        <f t="shared" si="2"/>
        <v>-67.894500000000335</v>
      </c>
      <c r="O46" s="2">
        <f t="shared" si="3"/>
        <v>-339.47250000000167</v>
      </c>
      <c r="P46" s="14">
        <f t="shared" si="4"/>
        <v>-185.89450000000033</v>
      </c>
      <c r="Q46">
        <f t="shared" si="5"/>
        <v>-929.47250000000167</v>
      </c>
    </row>
    <row r="47" spans="1:17" x14ac:dyDescent="0.25">
      <c r="A47" s="8" t="s">
        <v>13</v>
      </c>
      <c r="B47" s="8"/>
      <c r="C47" s="8"/>
      <c r="D47" s="8"/>
      <c r="E47" s="9">
        <v>5657</v>
      </c>
      <c r="F47" s="10">
        <v>1</v>
      </c>
      <c r="G47" s="10" t="s">
        <v>31</v>
      </c>
      <c r="H47" s="9">
        <v>5657</v>
      </c>
      <c r="I47" s="9">
        <v>36.770000000000003</v>
      </c>
      <c r="J47" s="11">
        <v>2155</v>
      </c>
      <c r="K47" s="11">
        <v>0.47</v>
      </c>
      <c r="L47" s="14">
        <f t="shared" si="0"/>
        <v>2658.79</v>
      </c>
      <c r="M47" s="2">
        <f t="shared" si="1"/>
        <v>2658.79</v>
      </c>
      <c r="N47" s="14">
        <f t="shared" si="2"/>
        <v>503.78999999999996</v>
      </c>
      <c r="O47" s="2">
        <f t="shared" si="3"/>
        <v>503.78999999999996</v>
      </c>
      <c r="P47" s="14">
        <f t="shared" si="4"/>
        <v>385.78999999999996</v>
      </c>
      <c r="Q47">
        <f t="shared" si="5"/>
        <v>385.78999999999996</v>
      </c>
    </row>
    <row r="48" spans="1:17" x14ac:dyDescent="0.25">
      <c r="A48" s="8" t="s">
        <v>14</v>
      </c>
      <c r="B48" s="8"/>
      <c r="C48" s="8"/>
      <c r="D48" s="8"/>
      <c r="E48" s="9">
        <v>33752.92</v>
      </c>
      <c r="F48" s="10">
        <v>8</v>
      </c>
      <c r="G48" s="10" t="s">
        <v>31</v>
      </c>
      <c r="H48" s="9">
        <v>4219.12</v>
      </c>
      <c r="I48" s="9">
        <v>219.4</v>
      </c>
      <c r="J48" s="11">
        <v>1974</v>
      </c>
      <c r="K48" s="11">
        <v>0.47</v>
      </c>
      <c r="L48" s="14">
        <f t="shared" si="0"/>
        <v>1982.9863999999998</v>
      </c>
      <c r="M48" s="2">
        <f t="shared" si="1"/>
        <v>15863.891199999998</v>
      </c>
      <c r="N48" s="14">
        <f t="shared" si="2"/>
        <v>8.9863999999997759</v>
      </c>
      <c r="O48" s="2">
        <f t="shared" si="3"/>
        <v>71.891199999998207</v>
      </c>
      <c r="P48" s="14">
        <f t="shared" si="4"/>
        <v>-109.01360000000022</v>
      </c>
      <c r="Q48">
        <f t="shared" si="5"/>
        <v>-872.10880000000179</v>
      </c>
    </row>
    <row r="49" spans="1:17" x14ac:dyDescent="0.25">
      <c r="A49" s="8" t="s">
        <v>15</v>
      </c>
      <c r="B49" s="8"/>
      <c r="C49" s="8"/>
      <c r="D49" s="8"/>
      <c r="E49" s="9">
        <v>1629</v>
      </c>
      <c r="F49" s="10">
        <v>1</v>
      </c>
      <c r="G49" s="10" t="s">
        <v>31</v>
      </c>
      <c r="H49" s="9">
        <v>1629</v>
      </c>
      <c r="I49" s="9">
        <v>21824</v>
      </c>
      <c r="J49" s="12">
        <v>371</v>
      </c>
      <c r="K49" s="11">
        <v>0.47</v>
      </c>
      <c r="L49" s="14">
        <f t="shared" si="0"/>
        <v>765.63</v>
      </c>
      <c r="M49" s="2">
        <f t="shared" si="1"/>
        <v>765.63</v>
      </c>
      <c r="N49" s="14">
        <f t="shared" si="2"/>
        <v>394.63</v>
      </c>
      <c r="O49" s="2">
        <f t="shared" si="3"/>
        <v>394.63</v>
      </c>
      <c r="P49" s="14">
        <f t="shared" si="4"/>
        <v>276.63</v>
      </c>
      <c r="Q49">
        <f t="shared" si="5"/>
        <v>276.63</v>
      </c>
    </row>
    <row r="50" spans="1:17" x14ac:dyDescent="0.25">
      <c r="A50" s="8" t="s">
        <v>15</v>
      </c>
      <c r="B50" s="8"/>
      <c r="C50" s="8"/>
      <c r="D50" s="8"/>
      <c r="E50" s="9">
        <v>1597</v>
      </c>
      <c r="F50" s="10">
        <v>1</v>
      </c>
      <c r="G50" s="10" t="s">
        <v>31</v>
      </c>
      <c r="H50" s="9">
        <v>1597</v>
      </c>
      <c r="I50" s="9">
        <v>14154</v>
      </c>
      <c r="J50" s="12">
        <v>371</v>
      </c>
      <c r="K50" s="11">
        <v>0.47</v>
      </c>
      <c r="L50" s="14">
        <f t="shared" si="0"/>
        <v>750.58999999999992</v>
      </c>
      <c r="M50" s="2">
        <f t="shared" si="1"/>
        <v>750.58999999999992</v>
      </c>
      <c r="N50" s="14">
        <f t="shared" si="2"/>
        <v>379.58999999999992</v>
      </c>
      <c r="O50" s="2">
        <f t="shared" si="3"/>
        <v>379.58999999999992</v>
      </c>
      <c r="P50" s="14">
        <f t="shared" si="4"/>
        <v>261.58999999999992</v>
      </c>
      <c r="Q50">
        <f t="shared" si="5"/>
        <v>261.58999999999992</v>
      </c>
    </row>
    <row r="51" spans="1:17" x14ac:dyDescent="0.25">
      <c r="A51" s="8" t="s">
        <v>15</v>
      </c>
      <c r="B51" s="8"/>
      <c r="C51" s="8"/>
      <c r="D51" s="8"/>
      <c r="E51" s="9">
        <v>1494</v>
      </c>
      <c r="F51" s="10">
        <v>1</v>
      </c>
      <c r="G51" s="10" t="s">
        <v>31</v>
      </c>
      <c r="H51" s="9">
        <v>1494</v>
      </c>
      <c r="I51" s="9">
        <v>26177</v>
      </c>
      <c r="J51" s="12">
        <v>371</v>
      </c>
      <c r="K51" s="11">
        <v>0.47</v>
      </c>
      <c r="L51" s="14">
        <f t="shared" si="0"/>
        <v>702.18</v>
      </c>
      <c r="M51" s="2">
        <f t="shared" si="1"/>
        <v>702.18</v>
      </c>
      <c r="N51" s="14">
        <f t="shared" si="2"/>
        <v>331.17999999999995</v>
      </c>
      <c r="O51" s="2">
        <f t="shared" si="3"/>
        <v>331.17999999999995</v>
      </c>
      <c r="P51" s="14">
        <f t="shared" si="4"/>
        <v>213.17999999999995</v>
      </c>
      <c r="Q51">
        <f t="shared" si="5"/>
        <v>213.17999999999995</v>
      </c>
    </row>
    <row r="52" spans="1:17" x14ac:dyDescent="0.25">
      <c r="A52" s="8" t="s">
        <v>15</v>
      </c>
      <c r="B52" s="8"/>
      <c r="C52" s="8"/>
      <c r="D52" s="8"/>
      <c r="E52" s="9">
        <v>2988</v>
      </c>
      <c r="F52" s="10">
        <v>2</v>
      </c>
      <c r="G52" s="10" t="s">
        <v>31</v>
      </c>
      <c r="H52" s="9">
        <v>1494</v>
      </c>
      <c r="I52" s="9">
        <v>19.420000000000002</v>
      </c>
      <c r="J52" s="12">
        <v>371</v>
      </c>
      <c r="K52" s="11">
        <v>0.47</v>
      </c>
      <c r="L52" s="14">
        <f t="shared" si="0"/>
        <v>702.18</v>
      </c>
      <c r="M52" s="2">
        <f t="shared" si="1"/>
        <v>1404.36</v>
      </c>
      <c r="N52" s="14">
        <f t="shared" si="2"/>
        <v>331.17999999999995</v>
      </c>
      <c r="O52" s="2">
        <f t="shared" si="3"/>
        <v>662.3599999999999</v>
      </c>
      <c r="P52" s="14">
        <f t="shared" si="4"/>
        <v>213.17999999999995</v>
      </c>
      <c r="Q52">
        <f t="shared" si="5"/>
        <v>426.3599999999999</v>
      </c>
    </row>
    <row r="53" spans="1:17" x14ac:dyDescent="0.25">
      <c r="A53" s="8" t="s">
        <v>15</v>
      </c>
      <c r="B53" s="8"/>
      <c r="C53" s="8"/>
      <c r="D53" s="8"/>
      <c r="E53" s="9">
        <v>3194</v>
      </c>
      <c r="F53" s="10">
        <v>2</v>
      </c>
      <c r="G53" s="10" t="s">
        <v>31</v>
      </c>
      <c r="H53" s="9">
        <v>1597</v>
      </c>
      <c r="I53" s="9">
        <v>20.76</v>
      </c>
      <c r="J53" s="12">
        <v>371</v>
      </c>
      <c r="K53" s="11">
        <v>0.47</v>
      </c>
      <c r="L53" s="14">
        <f t="shared" si="0"/>
        <v>750.58999999999992</v>
      </c>
      <c r="M53" s="2">
        <f t="shared" si="1"/>
        <v>1501.1799999999998</v>
      </c>
      <c r="N53" s="14">
        <f t="shared" si="2"/>
        <v>379.58999999999992</v>
      </c>
      <c r="O53" s="2">
        <f t="shared" si="3"/>
        <v>759.17999999999984</v>
      </c>
      <c r="P53" s="14">
        <f t="shared" si="4"/>
        <v>261.58999999999992</v>
      </c>
      <c r="Q53">
        <f t="shared" si="5"/>
        <v>523.17999999999984</v>
      </c>
    </row>
    <row r="54" spans="1:17" x14ac:dyDescent="0.25">
      <c r="A54" s="8" t="s">
        <v>15</v>
      </c>
      <c r="B54" s="8"/>
      <c r="C54" s="8"/>
      <c r="D54" s="8"/>
      <c r="E54" s="9">
        <v>1597</v>
      </c>
      <c r="F54" s="10">
        <v>1</v>
      </c>
      <c r="G54" s="10" t="s">
        <v>31</v>
      </c>
      <c r="H54" s="9">
        <v>1597</v>
      </c>
      <c r="I54" s="9">
        <v>14154</v>
      </c>
      <c r="J54" s="12">
        <v>371</v>
      </c>
      <c r="K54" s="11">
        <v>0.47</v>
      </c>
      <c r="L54" s="14">
        <f t="shared" si="0"/>
        <v>750.58999999999992</v>
      </c>
      <c r="M54" s="2">
        <f t="shared" si="1"/>
        <v>750.58999999999992</v>
      </c>
      <c r="N54" s="14">
        <f t="shared" si="2"/>
        <v>379.58999999999992</v>
      </c>
      <c r="O54" s="2">
        <f t="shared" si="3"/>
        <v>379.58999999999992</v>
      </c>
      <c r="P54" s="14">
        <f t="shared" si="4"/>
        <v>261.58999999999992</v>
      </c>
      <c r="Q54">
        <f t="shared" si="5"/>
        <v>261.58999999999992</v>
      </c>
    </row>
    <row r="55" spans="1:17" x14ac:dyDescent="0.25">
      <c r="A55" s="8" t="s">
        <v>15</v>
      </c>
      <c r="B55" s="8"/>
      <c r="C55" s="8"/>
      <c r="D55" s="8"/>
      <c r="E55" s="9">
        <v>12776</v>
      </c>
      <c r="F55" s="10">
        <v>8</v>
      </c>
      <c r="G55" s="10" t="s">
        <v>31</v>
      </c>
      <c r="H55" s="9">
        <v>1597</v>
      </c>
      <c r="I55" s="9">
        <v>83.04</v>
      </c>
      <c r="J55" s="12">
        <v>371</v>
      </c>
      <c r="K55" s="11">
        <v>0.47</v>
      </c>
      <c r="L55" s="14">
        <f t="shared" si="0"/>
        <v>750.58999999999992</v>
      </c>
      <c r="M55" s="2">
        <f t="shared" si="1"/>
        <v>6004.7199999999993</v>
      </c>
      <c r="N55" s="14">
        <f t="shared" si="2"/>
        <v>379.58999999999992</v>
      </c>
      <c r="O55" s="2">
        <f t="shared" si="3"/>
        <v>3036.7199999999993</v>
      </c>
      <c r="P55" s="14">
        <f t="shared" si="4"/>
        <v>261.58999999999992</v>
      </c>
      <c r="Q55">
        <f t="shared" si="5"/>
        <v>2092.7199999999993</v>
      </c>
    </row>
    <row r="56" spans="1:17" x14ac:dyDescent="0.25">
      <c r="A56" s="8" t="s">
        <v>16</v>
      </c>
      <c r="B56" s="8"/>
      <c r="C56" s="8"/>
      <c r="D56" s="8"/>
      <c r="E56" s="9">
        <v>3183.18</v>
      </c>
      <c r="F56" s="10">
        <v>1</v>
      </c>
      <c r="G56" s="10" t="s">
        <v>31</v>
      </c>
      <c r="H56" s="9">
        <v>3183.18</v>
      </c>
      <c r="I56" s="9">
        <v>20.69</v>
      </c>
      <c r="J56" s="12">
        <v>1718</v>
      </c>
      <c r="K56" s="11">
        <v>0.47</v>
      </c>
      <c r="L56" s="14">
        <f t="shared" si="0"/>
        <v>1496.0945999999999</v>
      </c>
      <c r="M56" s="2">
        <f t="shared" si="1"/>
        <v>1496.0945999999999</v>
      </c>
      <c r="N56" s="14">
        <f t="shared" si="2"/>
        <v>-221.9054000000001</v>
      </c>
      <c r="O56" s="2">
        <f t="shared" si="3"/>
        <v>-221.9054000000001</v>
      </c>
      <c r="P56" s="14">
        <f t="shared" si="4"/>
        <v>-339.9054000000001</v>
      </c>
      <c r="Q56">
        <f t="shared" si="5"/>
        <v>-339.9054000000001</v>
      </c>
    </row>
    <row r="57" spans="1:17" x14ac:dyDescent="0.25">
      <c r="A57" s="8" t="s">
        <v>17</v>
      </c>
      <c r="B57" s="8"/>
      <c r="C57" s="8"/>
      <c r="D57" s="8"/>
      <c r="E57" s="9">
        <v>19735.02</v>
      </c>
      <c r="F57" s="10">
        <v>10</v>
      </c>
      <c r="G57" s="10" t="s">
        <v>31</v>
      </c>
      <c r="H57" s="9">
        <v>1973.5</v>
      </c>
      <c r="I57" s="9">
        <v>128.27000000000001</v>
      </c>
      <c r="J57" s="12">
        <v>1351</v>
      </c>
      <c r="K57" s="11">
        <v>0.47</v>
      </c>
      <c r="L57" s="14">
        <f t="shared" si="0"/>
        <v>927.54499999999996</v>
      </c>
      <c r="M57" s="2">
        <f t="shared" si="1"/>
        <v>9275.4499999999989</v>
      </c>
      <c r="N57" s="14">
        <f t="shared" si="2"/>
        <v>-423.45500000000004</v>
      </c>
      <c r="O57" s="2">
        <f t="shared" si="3"/>
        <v>-4234.55</v>
      </c>
      <c r="P57" s="14">
        <f t="shared" si="4"/>
        <v>-541.45500000000004</v>
      </c>
      <c r="Q57">
        <f t="shared" si="5"/>
        <v>-5414.55</v>
      </c>
    </row>
    <row r="58" spans="1:17" x14ac:dyDescent="0.25">
      <c r="A58" s="8" t="s">
        <v>18</v>
      </c>
      <c r="B58" s="8"/>
      <c r="C58" s="8"/>
      <c r="D58" s="8"/>
      <c r="E58" s="9">
        <v>57462.42</v>
      </c>
      <c r="F58" s="10">
        <v>19</v>
      </c>
      <c r="G58" s="10" t="s">
        <v>31</v>
      </c>
      <c r="H58" s="9">
        <v>3024.34</v>
      </c>
      <c r="I58" s="9">
        <v>373.52</v>
      </c>
      <c r="J58" s="12">
        <v>1709</v>
      </c>
      <c r="K58" s="11">
        <v>0.47</v>
      </c>
      <c r="L58" s="14">
        <f t="shared" si="0"/>
        <v>1421.4397999999999</v>
      </c>
      <c r="M58" s="2">
        <f t="shared" si="1"/>
        <v>27007.356199999998</v>
      </c>
      <c r="N58" s="14">
        <f t="shared" si="2"/>
        <v>-287.56020000000012</v>
      </c>
      <c r="O58" s="2">
        <f t="shared" si="3"/>
        <v>-5463.6438000000026</v>
      </c>
      <c r="P58" s="14">
        <f t="shared" si="4"/>
        <v>-405.56020000000012</v>
      </c>
      <c r="Q58">
        <f t="shared" si="5"/>
        <v>-7705.6438000000026</v>
      </c>
    </row>
    <row r="59" spans="1:17" x14ac:dyDescent="0.25">
      <c r="A59" s="8" t="s">
        <v>19</v>
      </c>
      <c r="B59" s="8"/>
      <c r="C59" s="8"/>
      <c r="D59" s="8"/>
      <c r="E59" s="9">
        <v>39410.620000000003</v>
      </c>
      <c r="F59" s="10">
        <v>11</v>
      </c>
      <c r="G59" s="10" t="s">
        <v>31</v>
      </c>
      <c r="H59" s="9">
        <v>3582.78</v>
      </c>
      <c r="I59" s="9">
        <v>256.16000000000003</v>
      </c>
      <c r="J59" s="12">
        <v>2194</v>
      </c>
      <c r="K59" s="11">
        <v>0.47</v>
      </c>
      <c r="L59" s="14">
        <f t="shared" si="0"/>
        <v>1683.9066</v>
      </c>
      <c r="M59" s="2">
        <f t="shared" si="1"/>
        <v>18522.972600000001</v>
      </c>
      <c r="N59" s="14">
        <f t="shared" si="2"/>
        <v>-510.09339999999997</v>
      </c>
      <c r="O59" s="2">
        <f t="shared" si="3"/>
        <v>-5611.0273999999999</v>
      </c>
      <c r="P59" s="14">
        <f t="shared" si="4"/>
        <v>-628.09339999999997</v>
      </c>
      <c r="Q59">
        <f t="shared" si="5"/>
        <v>-6909.0273999999999</v>
      </c>
    </row>
    <row r="60" spans="1:17" x14ac:dyDescent="0.25">
      <c r="A60" s="8" t="s">
        <v>20</v>
      </c>
      <c r="B60" s="8"/>
      <c r="C60" s="8"/>
      <c r="D60" s="8"/>
      <c r="E60" s="9">
        <v>3340</v>
      </c>
      <c r="F60" s="10">
        <v>1</v>
      </c>
      <c r="G60" s="10" t="s">
        <v>31</v>
      </c>
      <c r="H60" s="9">
        <v>3340</v>
      </c>
      <c r="I60" s="9">
        <v>21.71</v>
      </c>
      <c r="J60" s="12">
        <v>1974</v>
      </c>
      <c r="K60" s="11">
        <v>0.47</v>
      </c>
      <c r="L60" s="14">
        <f t="shared" si="0"/>
        <v>1569.8</v>
      </c>
      <c r="M60" s="2">
        <f t="shared" si="1"/>
        <v>1569.8</v>
      </c>
      <c r="N60" s="14">
        <f t="shared" si="2"/>
        <v>-404.20000000000005</v>
      </c>
      <c r="O60" s="2">
        <f t="shared" si="3"/>
        <v>-404.20000000000005</v>
      </c>
      <c r="P60" s="14">
        <f t="shared" si="4"/>
        <v>-522.20000000000005</v>
      </c>
      <c r="Q60">
        <f t="shared" si="5"/>
        <v>-522.20000000000005</v>
      </c>
    </row>
    <row r="61" spans="1:17" x14ac:dyDescent="0.25">
      <c r="A61" s="8" t="s">
        <v>20</v>
      </c>
      <c r="B61" s="8"/>
      <c r="C61" s="8"/>
      <c r="D61" s="8"/>
      <c r="E61" s="9">
        <v>4254</v>
      </c>
      <c r="F61" s="10">
        <v>1</v>
      </c>
      <c r="G61" s="10" t="s">
        <v>31</v>
      </c>
      <c r="H61" s="9">
        <v>4254</v>
      </c>
      <c r="I61" s="9">
        <v>27.65</v>
      </c>
      <c r="J61" s="12">
        <v>1974</v>
      </c>
      <c r="K61" s="11">
        <v>0.47</v>
      </c>
      <c r="L61" s="14">
        <f t="shared" si="0"/>
        <v>1999.3799999999999</v>
      </c>
      <c r="M61" s="2">
        <f t="shared" si="1"/>
        <v>1999.3799999999999</v>
      </c>
      <c r="N61" s="14">
        <f t="shared" si="2"/>
        <v>25.379999999999882</v>
      </c>
      <c r="O61" s="2">
        <f t="shared" si="3"/>
        <v>25.379999999999882</v>
      </c>
      <c r="P61" s="14">
        <f t="shared" si="4"/>
        <v>-92.620000000000118</v>
      </c>
      <c r="Q61">
        <f t="shared" si="5"/>
        <v>-92.620000000000118</v>
      </c>
    </row>
    <row r="62" spans="1:17" x14ac:dyDescent="0.25">
      <c r="A62" s="8" t="s">
        <v>21</v>
      </c>
      <c r="B62" s="8"/>
      <c r="C62" s="8"/>
      <c r="D62" s="8"/>
      <c r="E62" s="9">
        <v>4778.3100000000004</v>
      </c>
      <c r="F62" s="10">
        <v>1</v>
      </c>
      <c r="G62" s="10" t="s">
        <v>31</v>
      </c>
      <c r="H62" s="9">
        <v>4778.3100000000004</v>
      </c>
      <c r="I62" s="9">
        <v>31.06</v>
      </c>
      <c r="J62" s="12">
        <v>2143</v>
      </c>
      <c r="K62" s="11">
        <v>0.47</v>
      </c>
      <c r="L62" s="14">
        <f t="shared" si="0"/>
        <v>2245.8056999999999</v>
      </c>
      <c r="M62" s="2">
        <f t="shared" si="1"/>
        <v>2245.8056999999999</v>
      </c>
      <c r="N62" s="14">
        <f t="shared" si="2"/>
        <v>102.80569999999989</v>
      </c>
      <c r="O62" s="2">
        <f t="shared" si="3"/>
        <v>102.80569999999989</v>
      </c>
      <c r="P62" s="14">
        <f t="shared" si="4"/>
        <v>-15.194300000000112</v>
      </c>
      <c r="Q62">
        <f t="shared" si="5"/>
        <v>-15.194300000000112</v>
      </c>
    </row>
    <row r="63" spans="1:17" x14ac:dyDescent="0.25">
      <c r="A63" s="8" t="s">
        <v>22</v>
      </c>
      <c r="B63" s="8"/>
      <c r="C63" s="8"/>
      <c r="D63" s="8"/>
      <c r="E63" s="9">
        <v>2580.79</v>
      </c>
      <c r="F63" s="10">
        <v>1</v>
      </c>
      <c r="G63" s="10" t="s">
        <v>31</v>
      </c>
      <c r="H63" s="9">
        <v>2580.79</v>
      </c>
      <c r="I63" s="9">
        <v>16.78</v>
      </c>
      <c r="J63" s="12">
        <v>2256</v>
      </c>
      <c r="K63" s="11">
        <v>0.47</v>
      </c>
      <c r="L63" s="14">
        <f t="shared" si="0"/>
        <v>1212.9712999999999</v>
      </c>
      <c r="M63" s="2">
        <f t="shared" si="1"/>
        <v>1212.9712999999999</v>
      </c>
      <c r="N63" s="14">
        <f t="shared" si="2"/>
        <v>-1043.0287000000001</v>
      </c>
      <c r="O63" s="2">
        <f t="shared" si="3"/>
        <v>-1043.0287000000001</v>
      </c>
      <c r="P63" s="14">
        <f t="shared" si="4"/>
        <v>-1161.0287000000001</v>
      </c>
      <c r="Q63">
        <f t="shared" si="5"/>
        <v>-1161.0287000000001</v>
      </c>
    </row>
    <row r="64" spans="1:17" x14ac:dyDescent="0.25">
      <c r="A64" s="8" t="s">
        <v>23</v>
      </c>
      <c r="B64" s="8"/>
      <c r="C64" s="8"/>
      <c r="D64" s="8"/>
      <c r="E64" s="9">
        <v>37130.699999999997</v>
      </c>
      <c r="F64" s="10">
        <v>12</v>
      </c>
      <c r="G64" s="10" t="s">
        <v>31</v>
      </c>
      <c r="H64" s="9">
        <v>3094.23</v>
      </c>
      <c r="I64" s="9">
        <v>241.36</v>
      </c>
      <c r="J64" s="12">
        <v>1790</v>
      </c>
      <c r="K64" s="11">
        <v>0.47</v>
      </c>
      <c r="L64" s="14">
        <f t="shared" si="0"/>
        <v>1454.2881</v>
      </c>
      <c r="M64" s="2">
        <f t="shared" si="1"/>
        <v>17451.457200000001</v>
      </c>
      <c r="N64" s="14">
        <f t="shared" si="2"/>
        <v>-335.71190000000001</v>
      </c>
      <c r="O64" s="2">
        <f t="shared" si="3"/>
        <v>-4028.5428000000002</v>
      </c>
      <c r="P64" s="14">
        <f t="shared" si="4"/>
        <v>-453.71190000000001</v>
      </c>
      <c r="Q64">
        <f t="shared" si="5"/>
        <v>-5444.5428000000002</v>
      </c>
    </row>
    <row r="65" spans="1:19" x14ac:dyDescent="0.25">
      <c r="A65" s="8" t="s">
        <v>24</v>
      </c>
      <c r="B65" s="8"/>
      <c r="C65" s="8"/>
      <c r="D65" s="8"/>
      <c r="E65" s="9">
        <v>13100.71</v>
      </c>
      <c r="F65" s="10">
        <v>1</v>
      </c>
      <c r="G65" s="10" t="s">
        <v>31</v>
      </c>
      <c r="H65" s="9">
        <v>13100.71</v>
      </c>
      <c r="I65" s="9">
        <v>85.15</v>
      </c>
      <c r="J65" s="12">
        <v>9976</v>
      </c>
      <c r="K65" s="11">
        <v>0.47</v>
      </c>
      <c r="L65" s="14">
        <f t="shared" si="0"/>
        <v>6157.3336999999992</v>
      </c>
      <c r="M65" s="2">
        <f t="shared" si="1"/>
        <v>6157.3336999999992</v>
      </c>
      <c r="N65" s="14">
        <f t="shared" si="2"/>
        <v>-3818.6663000000008</v>
      </c>
      <c r="O65" s="2">
        <f t="shared" si="3"/>
        <v>-3818.6663000000008</v>
      </c>
      <c r="P65" s="14">
        <f t="shared" si="4"/>
        <v>-3936.6663000000008</v>
      </c>
      <c r="Q65">
        <f t="shared" si="5"/>
        <v>-3936.6663000000008</v>
      </c>
    </row>
    <row r="66" spans="1:19" x14ac:dyDescent="0.25">
      <c r="A66" s="8" t="s">
        <v>25</v>
      </c>
      <c r="B66" s="8"/>
      <c r="C66" s="8"/>
      <c r="D66" s="8"/>
      <c r="E66" s="9">
        <v>12142</v>
      </c>
      <c r="F66" s="10">
        <v>1</v>
      </c>
      <c r="G66" s="10" t="s">
        <v>31</v>
      </c>
      <c r="H66" s="9">
        <v>12142</v>
      </c>
      <c r="I66" s="9">
        <v>78.92</v>
      </c>
      <c r="J66" s="12">
        <v>9050</v>
      </c>
      <c r="K66" s="11">
        <v>0.47</v>
      </c>
      <c r="L66" s="14">
        <f t="shared" si="0"/>
        <v>5706.74</v>
      </c>
      <c r="M66" s="2">
        <f t="shared" si="1"/>
        <v>5706.74</v>
      </c>
      <c r="N66" s="14">
        <f t="shared" si="2"/>
        <v>-3343.26</v>
      </c>
      <c r="O66" s="2">
        <f t="shared" si="3"/>
        <v>-3343.26</v>
      </c>
      <c r="P66" s="14">
        <f t="shared" si="4"/>
        <v>-3461.26</v>
      </c>
      <c r="Q66">
        <f t="shared" si="5"/>
        <v>-3461.26</v>
      </c>
    </row>
    <row r="67" spans="1:19" x14ac:dyDescent="0.25">
      <c r="A67" s="8" t="s">
        <v>25</v>
      </c>
      <c r="B67" s="8"/>
      <c r="C67" s="8"/>
      <c r="D67" s="8"/>
      <c r="E67" s="9">
        <v>80572.72</v>
      </c>
      <c r="F67" s="10">
        <v>6</v>
      </c>
      <c r="G67" s="10" t="s">
        <v>31</v>
      </c>
      <c r="H67" s="9">
        <v>13428.79</v>
      </c>
      <c r="I67" s="9">
        <v>468.1</v>
      </c>
      <c r="J67" s="12">
        <v>9050</v>
      </c>
      <c r="K67" s="11">
        <v>0.47</v>
      </c>
      <c r="L67" s="14">
        <f t="shared" ref="L67:L71" si="6">H67*K67</f>
        <v>6311.5312999999996</v>
      </c>
      <c r="M67" s="2">
        <f t="shared" ref="M67:M71" si="7">L67*F67</f>
        <v>37869.1878</v>
      </c>
      <c r="N67" s="14">
        <f t="shared" ref="N67:N71" si="8">L67-J67</f>
        <v>-2738.4687000000004</v>
      </c>
      <c r="O67" s="2">
        <f t="shared" ref="O67:O71" si="9">N67*F67</f>
        <v>-16430.8122</v>
      </c>
      <c r="P67" s="14">
        <f t="shared" ref="P67:P71" si="10">N67-118</f>
        <v>-2856.4687000000004</v>
      </c>
      <c r="Q67">
        <f t="shared" ref="Q67:Q71" si="11">P67*F67</f>
        <v>-17138.8122</v>
      </c>
    </row>
    <row r="68" spans="1:19" x14ac:dyDescent="0.25">
      <c r="A68" s="8" t="s">
        <v>15</v>
      </c>
      <c r="B68" s="8"/>
      <c r="C68" s="8"/>
      <c r="D68" s="8"/>
      <c r="E68" s="9">
        <v>25034.97</v>
      </c>
      <c r="F68" s="10">
        <v>21</v>
      </c>
      <c r="G68" s="10" t="s">
        <v>31</v>
      </c>
      <c r="H68" s="9">
        <v>1192.1400000000001</v>
      </c>
      <c r="I68" s="9">
        <v>162.72999999999999</v>
      </c>
      <c r="J68" s="12">
        <v>371</v>
      </c>
      <c r="K68" s="11">
        <v>0.47</v>
      </c>
      <c r="L68" s="14">
        <f t="shared" si="6"/>
        <v>560.30579999999998</v>
      </c>
      <c r="M68" s="2">
        <f t="shared" si="7"/>
        <v>11766.4218</v>
      </c>
      <c r="N68" s="14">
        <f t="shared" si="8"/>
        <v>189.30579999999998</v>
      </c>
      <c r="O68" s="2">
        <f t="shared" si="9"/>
        <v>3975.4217999999996</v>
      </c>
      <c r="P68" s="14">
        <f t="shared" si="10"/>
        <v>71.305799999999977</v>
      </c>
      <c r="Q68">
        <f t="shared" si="11"/>
        <v>1497.4217999999996</v>
      </c>
    </row>
    <row r="69" spans="1:19" x14ac:dyDescent="0.25">
      <c r="A69" s="8" t="s">
        <v>20</v>
      </c>
      <c r="B69" s="8"/>
      <c r="C69" s="8"/>
      <c r="D69" s="8"/>
      <c r="E69" s="9">
        <v>47883.05</v>
      </c>
      <c r="F69" s="10">
        <v>14</v>
      </c>
      <c r="G69" s="10" t="s">
        <v>31</v>
      </c>
      <c r="H69" s="9">
        <v>3420.22</v>
      </c>
      <c r="I69" s="9">
        <v>311.25</v>
      </c>
      <c r="J69" s="12">
        <v>1974</v>
      </c>
      <c r="K69" s="11">
        <v>0.47</v>
      </c>
      <c r="L69" s="14">
        <f t="shared" si="6"/>
        <v>1607.5033999999998</v>
      </c>
      <c r="M69" s="2">
        <f t="shared" si="7"/>
        <v>22505.047599999998</v>
      </c>
      <c r="N69" s="14">
        <f t="shared" si="8"/>
        <v>-366.49660000000017</v>
      </c>
      <c r="O69" s="2">
        <f t="shared" si="9"/>
        <v>-5130.9524000000019</v>
      </c>
      <c r="P69" s="14">
        <f t="shared" si="10"/>
        <v>-484.49660000000017</v>
      </c>
      <c r="Q69">
        <f t="shared" si="11"/>
        <v>-6782.9524000000019</v>
      </c>
    </row>
    <row r="70" spans="1:19" x14ac:dyDescent="0.25">
      <c r="A70" s="8" t="s">
        <v>26</v>
      </c>
      <c r="B70" s="8"/>
      <c r="C70" s="8"/>
      <c r="D70" s="8"/>
      <c r="E70" s="9">
        <v>47590.25</v>
      </c>
      <c r="F70" s="10">
        <v>10</v>
      </c>
      <c r="G70" s="10" t="s">
        <v>31</v>
      </c>
      <c r="H70" s="9">
        <v>4759.03</v>
      </c>
      <c r="I70" s="9">
        <v>309.33</v>
      </c>
      <c r="J70" s="12">
        <v>2602</v>
      </c>
      <c r="K70" s="11">
        <v>0.47</v>
      </c>
      <c r="L70" s="14">
        <f t="shared" si="6"/>
        <v>2236.7440999999999</v>
      </c>
      <c r="M70" s="2">
        <f t="shared" si="7"/>
        <v>22367.440999999999</v>
      </c>
      <c r="N70" s="14">
        <f t="shared" si="8"/>
        <v>-365.25590000000011</v>
      </c>
      <c r="O70" s="2">
        <f t="shared" si="9"/>
        <v>-3652.5590000000011</v>
      </c>
      <c r="P70" s="14">
        <f t="shared" si="10"/>
        <v>-483.25590000000011</v>
      </c>
      <c r="Q70">
        <f t="shared" si="11"/>
        <v>-4832.5590000000011</v>
      </c>
    </row>
    <row r="71" spans="1:19" x14ac:dyDescent="0.25">
      <c r="A71" s="8" t="s">
        <v>22</v>
      </c>
      <c r="B71" s="8"/>
      <c r="C71" s="8"/>
      <c r="D71" s="8"/>
      <c r="E71" s="9">
        <v>52809.03</v>
      </c>
      <c r="F71" s="10">
        <v>14</v>
      </c>
      <c r="G71" s="10" t="s">
        <v>31</v>
      </c>
      <c r="H71" s="9">
        <v>3772.07</v>
      </c>
      <c r="I71" s="9">
        <v>343.26</v>
      </c>
      <c r="J71" s="12">
        <v>2256</v>
      </c>
      <c r="K71" s="11">
        <v>0.47</v>
      </c>
      <c r="L71" s="14">
        <f t="shared" si="6"/>
        <v>1772.8729000000001</v>
      </c>
      <c r="M71" s="2">
        <f t="shared" si="7"/>
        <v>24820.220600000001</v>
      </c>
      <c r="N71" s="14">
        <f t="shared" si="8"/>
        <v>-483.12709999999993</v>
      </c>
      <c r="O71" s="2">
        <f t="shared" si="9"/>
        <v>-6763.7793999999994</v>
      </c>
      <c r="P71" s="14">
        <f t="shared" si="10"/>
        <v>-601.12709999999993</v>
      </c>
      <c r="Q71">
        <f t="shared" si="11"/>
        <v>-8415.7793999999994</v>
      </c>
      <c r="R71" t="s">
        <v>39</v>
      </c>
      <c r="S71" t="s">
        <v>40</v>
      </c>
    </row>
    <row r="72" spans="1:19" x14ac:dyDescent="0.25">
      <c r="A72" s="12"/>
      <c r="B72" s="12"/>
      <c r="C72" s="12"/>
      <c r="D72" s="12"/>
      <c r="E72" s="13">
        <v>2061777.84</v>
      </c>
      <c r="F72" s="14"/>
      <c r="G72" s="14"/>
      <c r="H72" s="15"/>
      <c r="I72" s="13">
        <v>13346.05</v>
      </c>
      <c r="J72" s="12"/>
      <c r="K72" s="14"/>
      <c r="L72" s="14"/>
      <c r="M72" s="17">
        <f t="shared" ref="M72:O72" si="12">SUM(M2:M71)</f>
        <v>969036.05010000011</v>
      </c>
      <c r="N72" s="17"/>
      <c r="O72" s="17">
        <f t="shared" si="12"/>
        <v>-19933.949900000036</v>
      </c>
      <c r="P72" s="19"/>
      <c r="Q72" s="18">
        <f>SUM(Q2:Q71)</f>
        <v>-110085.94990000007</v>
      </c>
      <c r="R72">
        <v>-15709.12</v>
      </c>
      <c r="S72" s="20">
        <f>Q72+R72</f>
        <v>-125795.06990000006</v>
      </c>
    </row>
  </sheetData>
  <mergeCells count="72">
    <mergeCell ref="A67:D67"/>
    <mergeCell ref="A68:D68"/>
    <mergeCell ref="A69:D69"/>
    <mergeCell ref="A70:D70"/>
    <mergeCell ref="A71:D71"/>
    <mergeCell ref="F1:G1"/>
    <mergeCell ref="A59:D59"/>
    <mergeCell ref="A60:D60"/>
    <mergeCell ref="A61:D61"/>
    <mergeCell ref="A62:D62"/>
    <mergeCell ref="A63:D63"/>
    <mergeCell ref="A64:D64"/>
    <mergeCell ref="A47:D47"/>
    <mergeCell ref="A48:D48"/>
    <mergeCell ref="A49:D49"/>
    <mergeCell ref="A50:D50"/>
    <mergeCell ref="A51:D51"/>
    <mergeCell ref="A52:D52"/>
    <mergeCell ref="A35:D35"/>
    <mergeCell ref="A36:D36"/>
    <mergeCell ref="A37:D37"/>
    <mergeCell ref="A38:D38"/>
    <mergeCell ref="A39:D39"/>
    <mergeCell ref="A40:D40"/>
    <mergeCell ref="A23:D23"/>
    <mergeCell ref="A24:D24"/>
    <mergeCell ref="A25:D25"/>
    <mergeCell ref="A26:D26"/>
    <mergeCell ref="A27:D27"/>
    <mergeCell ref="A28:D28"/>
    <mergeCell ref="A11:D11"/>
    <mergeCell ref="A12:D12"/>
    <mergeCell ref="A13:D13"/>
    <mergeCell ref="A14:D14"/>
    <mergeCell ref="A15:D15"/>
    <mergeCell ref="A16:D16"/>
    <mergeCell ref="A1:D1"/>
    <mergeCell ref="A2:D2"/>
    <mergeCell ref="A3:D3"/>
    <mergeCell ref="A4:D4"/>
    <mergeCell ref="A5:D5"/>
    <mergeCell ref="A65:D65"/>
    <mergeCell ref="A66:D66"/>
    <mergeCell ref="A55:D55"/>
    <mergeCell ref="A56:D56"/>
    <mergeCell ref="A57:D57"/>
    <mergeCell ref="A58:D58"/>
    <mergeCell ref="A53:D53"/>
    <mergeCell ref="A54:D54"/>
    <mergeCell ref="A43:D43"/>
    <mergeCell ref="A44:D44"/>
    <mergeCell ref="A45:D45"/>
    <mergeCell ref="A46:D46"/>
    <mergeCell ref="A41:D41"/>
    <mergeCell ref="A42:D42"/>
    <mergeCell ref="A31:D31"/>
    <mergeCell ref="A32:D32"/>
    <mergeCell ref="A33:D33"/>
    <mergeCell ref="A34:D34"/>
    <mergeCell ref="A29:D29"/>
    <mergeCell ref="A30:D30"/>
    <mergeCell ref="A19:D19"/>
    <mergeCell ref="A20:D20"/>
    <mergeCell ref="A21:D21"/>
    <mergeCell ref="A22:D22"/>
    <mergeCell ref="A17:D17"/>
    <mergeCell ref="A18:D18"/>
    <mergeCell ref="A7:D7"/>
    <mergeCell ref="A8:D8"/>
    <mergeCell ref="A9:D9"/>
    <mergeCell ref="A10:D10"/>
    <mergeCell ref="A6:D6"/>
  </mergeCells>
  <conditionalFormatting sqref="N2:O72">
    <cfRule type="cellIs" dxfId="6" priority="4" operator="greaterThan">
      <formula>0</formula>
    </cfRule>
    <cfRule type="cellIs" dxfId="5" priority="3" operator="lessThan">
      <formula>0</formula>
    </cfRule>
  </conditionalFormatting>
  <conditionalFormatting sqref="P2:P71">
    <cfRule type="cellIs" dxfId="0" priority="2" operator="greaterThan">
      <formula>0</formula>
    </cfRule>
    <cfRule type="cellIs" dxfId="1" priority="1" operator="lessThan">
      <formula>0</formula>
    </cfRule>
  </conditionalFormatting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Ирина Иванова</dc:creator>
  <cp:lastModifiedBy>Ирина Иванова</cp:lastModifiedBy>
  <cp:lastPrinted>2026-02-04T10:55:21Z</cp:lastPrinted>
  <dcterms:created xsi:type="dcterms:W3CDTF">2026-02-04T10:08:10Z</dcterms:created>
  <dcterms:modified xsi:type="dcterms:W3CDTF">2026-02-04T11:14:20Z</dcterms:modified>
</cp:coreProperties>
</file>