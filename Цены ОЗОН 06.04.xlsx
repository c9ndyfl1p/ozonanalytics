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ladimir/Desktop/Работа/Интернет Решения/"/>
    </mc:Choice>
  </mc:AlternateContent>
  <xr:revisionPtr revIDLastSave="0" documentId="13_ncr:1_{DF973CA7-BE63-A147-A801-DEA0F0A11EA5}" xr6:coauthVersionLast="47" xr6:coauthVersionMax="47" xr10:uidLastSave="{00000000-0000-0000-0000-000000000000}"/>
  <bookViews>
    <workbookView minimized="1" xWindow="43740" yWindow="600" windowWidth="25060" windowHeight="26380" activeTab="1" xr2:uid="{00000000-000D-0000-FFFF-FFFF00000000}"/>
  </bookViews>
  <sheets>
    <sheet name="Тарифы" sheetId="1" state="hidden" r:id="rId1"/>
    <sheet name="Калькуляция" sheetId="4" r:id="rId2"/>
    <sheet name="Лист1" sheetId="60" r:id="rId3"/>
    <sheet name="Общая комиссия" sheetId="35" r:id="rId4"/>
    <sheet name="Общая комиссия (2)" sheetId="59" state="hidden" r:id="rId5"/>
    <sheet name="Тарифы логистика 3-4л" sheetId="57" r:id="rId6"/>
    <sheet name="Тарифы логистика 13-14л " sheetId="48" r:id="rId7"/>
    <sheet name="Тарифы логистика 14-15л" sheetId="49" r:id="rId8"/>
    <sheet name="Тарифы логистика 20-25л" sheetId="50" r:id="rId9"/>
    <sheet name="Тарифы логистика 30-35л" sheetId="52" r:id="rId10"/>
    <sheet name="Тарифы логистика 35-40л" sheetId="53" r:id="rId11"/>
    <sheet name="Тарифы логистика 40-45л" sheetId="54" r:id="rId12"/>
    <sheet name="Тарифы логистика 50-60л" sheetId="55" r:id="rId13"/>
    <sheet name="Тарифы логистика 60-70л" sheetId="56" r:id="rId14"/>
    <sheet name="Тарифы логистика 70-80л" sheetId="47" r:id="rId15"/>
    <sheet name="Тарифы логистика 80-90л" sheetId="58" r:id="rId16"/>
    <sheet name="Тарифы логистика 200-400л" sheetId="51" r:id="rId17"/>
    <sheet name="Общая комиссия акции" sheetId="46" r:id="rId18"/>
    <sheet name="Логистика" sheetId="38" r:id="rId19"/>
    <sheet name="Коэффиценты" sheetId="3" state="hidden" r:id="rId20"/>
    <sheet name="Вознаграждение МП" sheetId="36" r:id="rId21"/>
    <sheet name="Прайс СТЕЛЛАЖИ" sheetId="5" state="hidden" r:id="rId22"/>
    <sheet name="Прайс ЯП" sheetId="6" state="hidden" r:id="rId23"/>
    <sheet name="Прайс КЛЮЧНИЦЫ" sheetId="7" state="hidden" r:id="rId24"/>
    <sheet name="Прайс СЕЙФЫ ШБС" sheetId="8" state="hidden" r:id="rId25"/>
    <sheet name="Прайс АПТЕЧКА" sheetId="9" state="hidden" r:id="rId26"/>
    <sheet name="Прайс СЕЙФЫ СМ" sheetId="10" state="hidden" r:id="rId27"/>
    <sheet name="ВС-С.1400х22" sheetId="63" r:id="rId28"/>
    <sheet name="ВС-ПС.1400.0 Полка-стенка" sheetId="64" r:id="rId29"/>
    <sheet name="ВС-О Опора" sheetId="65" r:id="rId30"/>
    <sheet name="ВС-ПС.1200.0 Полка-стенка" sheetId="66" r:id="rId31"/>
    <sheet name="ВС-С.1200х22" sheetId="67" r:id="rId32"/>
    <sheet name="40(4) NEW" sheetId="11" r:id="rId33"/>
    <sheet name="10.3 100 кг" sheetId="61" r:id="rId34"/>
    <sheet name="10.6 100кг" sheetId="62" r:id="rId35"/>
    <sheet name="40(6) NEW" sheetId="12" r:id="rId36"/>
    <sheet name="50(4) NEW" sheetId="13" r:id="rId37"/>
    <sheet name="СПЭ(4)" sheetId="40" r:id="rId38"/>
    <sheet name="СПЭ(5)" sheetId="41" r:id="rId39"/>
    <sheet name="СМ-50Э" sheetId="14" r:id="rId40"/>
    <sheet name="СМ-50" sheetId="15" r:id="rId41"/>
    <sheet name="СМ-30Э" sheetId="16" r:id="rId42"/>
    <sheet name="СМ-30" sheetId="17" r:id="rId43"/>
    <sheet name="СМ-25Э" sheetId="18" r:id="rId44"/>
    <sheet name="СМ-25" sheetId="19" r:id="rId45"/>
    <sheet name="СМ-23Э" sheetId="20" r:id="rId46"/>
    <sheet name="СМ-23" sheetId="21" r:id="rId47"/>
    <sheet name="СМ-20" sheetId="22" r:id="rId48"/>
    <sheet name="СМ-20Э" sheetId="23" r:id="rId49"/>
    <sheet name="ШБС-01 мини" sheetId="24" r:id="rId50"/>
    <sheet name="ШБС-01 мини Т" sheetId="25" r:id="rId51"/>
    <sheet name="АМУ-1" sheetId="26" r:id="rId52"/>
    <sheet name="ЯП-04 NEW" sheetId="27" r:id="rId53"/>
    <sheet name="ЯП-05 NEW" sheetId="28" r:id="rId54"/>
    <sheet name="ЯП-06 NEW" sheetId="29" r:id="rId55"/>
    <sheet name="ЯП-08 NEW" sheetId="30" r:id="rId56"/>
    <sheet name="К-20" sheetId="31" r:id="rId57"/>
    <sheet name="К-40" sheetId="32" r:id="rId58"/>
    <sheet name="К-60" sheetId="33" r:id="rId59"/>
    <sheet name="К-148" sheetId="34" r:id="rId60"/>
    <sheet name="расход ШО1" sheetId="42" r:id="rId61"/>
    <sheet name="расход ШО2" sheetId="43" r:id="rId62"/>
    <sheet name="расход ШО3" sheetId="44" r:id="rId63"/>
    <sheet name="расход ШО4" sheetId="45" r:id="rId64"/>
  </sheets>
  <externalReferences>
    <externalReference r:id="rId6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7" i="4" l="1"/>
  <c r="D36" i="4"/>
  <c r="F9" i="67"/>
  <c r="F10" i="67"/>
  <c r="F11" i="67"/>
  <c r="F12" i="67"/>
  <c r="F14" i="67" s="1"/>
  <c r="F13" i="67"/>
  <c r="F9" i="66"/>
  <c r="F10" i="66"/>
  <c r="F11" i="66"/>
  <c r="D12" i="66"/>
  <c r="F12" i="66"/>
  <c r="F13" i="66"/>
  <c r="F14" i="66"/>
  <c r="F15" i="66"/>
  <c r="F17" i="66" s="1"/>
  <c r="F16" i="66"/>
  <c r="F9" i="65"/>
  <c r="F10" i="65"/>
  <c r="F16" i="65" s="1"/>
  <c r="F11" i="65"/>
  <c r="F12" i="65"/>
  <c r="F13" i="65"/>
  <c r="F14" i="65"/>
  <c r="F15" i="65"/>
  <c r="D9" i="64"/>
  <c r="F9" i="64"/>
  <c r="D10" i="64"/>
  <c r="F10" i="64" s="1"/>
  <c r="F15" i="64" s="1"/>
  <c r="D11" i="64"/>
  <c r="F11" i="64" s="1"/>
  <c r="D12" i="64"/>
  <c r="F12" i="64"/>
  <c r="F13" i="64"/>
  <c r="F14" i="64"/>
  <c r="F9" i="63"/>
  <c r="F10" i="63"/>
  <c r="F11" i="63"/>
  <c r="F12" i="63"/>
  <c r="F14" i="63" s="1"/>
  <c r="F13" i="63"/>
  <c r="Q38" i="35"/>
  <c r="Q39" i="35"/>
  <c r="Q40" i="35"/>
  <c r="Q41" i="35"/>
  <c r="Q36" i="35"/>
  <c r="Q37" i="35"/>
  <c r="D38" i="35"/>
  <c r="I38" i="35" s="1"/>
  <c r="D39" i="35"/>
  <c r="I39" i="35" s="1"/>
  <c r="D40" i="35"/>
  <c r="I40" i="35" s="1"/>
  <c r="D41" i="35"/>
  <c r="I41" i="35" s="1"/>
  <c r="J38" i="35"/>
  <c r="J39" i="35"/>
  <c r="J40" i="35"/>
  <c r="J41" i="35"/>
  <c r="P41" i="35"/>
  <c r="P40" i="35"/>
  <c r="P39" i="35"/>
  <c r="P38" i="35"/>
  <c r="P37" i="35"/>
  <c r="P36" i="35"/>
  <c r="D38" i="4"/>
  <c r="D39" i="4"/>
  <c r="D40" i="4"/>
  <c r="D41" i="4"/>
  <c r="T32" i="62"/>
  <c r="T31" i="62"/>
  <c r="F10" i="62"/>
  <c r="F9" i="62"/>
  <c r="F8" i="62"/>
  <c r="F7" i="62"/>
  <c r="F6" i="62"/>
  <c r="F11" i="62" s="1"/>
  <c r="F5" i="62"/>
  <c r="F4" i="62"/>
  <c r="F18" i="66" l="1"/>
  <c r="F15" i="67"/>
  <c r="F16" i="64"/>
  <c r="F17" i="64"/>
  <c r="F17" i="65"/>
  <c r="F18" i="65" s="1"/>
  <c r="F15" i="63"/>
  <c r="F12" i="62"/>
  <c r="F13" i="62" s="1"/>
  <c r="F19" i="65" l="1"/>
  <c r="F18" i="64"/>
  <c r="F21" i="67"/>
  <c r="F16" i="67"/>
  <c r="F17" i="67" s="1"/>
  <c r="F18" i="67"/>
  <c r="F20" i="67"/>
  <c r="F20" i="63"/>
  <c r="F18" i="63"/>
  <c r="F16" i="63"/>
  <c r="F21" i="63"/>
  <c r="F20" i="66"/>
  <c r="F21" i="66"/>
  <c r="F23" i="66"/>
  <c r="F19" i="66"/>
  <c r="F24" i="66"/>
  <c r="F14" i="62"/>
  <c r="F24" i="64" l="1"/>
  <c r="F19" i="64"/>
  <c r="F20" i="64"/>
  <c r="F22" i="64" s="1"/>
  <c r="F23" i="64"/>
  <c r="F21" i="64"/>
  <c r="F19" i="67"/>
  <c r="F24" i="65"/>
  <c r="F25" i="65"/>
  <c r="F21" i="65"/>
  <c r="F20" i="65"/>
  <c r="F22" i="65"/>
  <c r="F22" i="66"/>
  <c r="F17" i="63"/>
  <c r="F19" i="63" s="1"/>
  <c r="F23" i="65"/>
  <c r="F15" i="62"/>
  <c r="F20" i="62"/>
  <c r="F19" i="62"/>
  <c r="F17" i="62"/>
  <c r="F22" i="63" l="1"/>
  <c r="F23" i="63"/>
  <c r="F25" i="64"/>
  <c r="F26" i="64"/>
  <c r="F22" i="67"/>
  <c r="F23" i="67"/>
  <c r="F25" i="66"/>
  <c r="F26" i="66"/>
  <c r="F26" i="65"/>
  <c r="F27" i="65"/>
  <c r="F16" i="62"/>
  <c r="F18" i="62" s="1"/>
  <c r="F27" i="64" l="1"/>
  <c r="F30" i="64" s="1"/>
  <c r="F28" i="66"/>
  <c r="F31" i="66"/>
  <c r="F24" i="67"/>
  <c r="F27" i="67" s="1"/>
  <c r="F27" i="66"/>
  <c r="F30" i="66" s="1"/>
  <c r="F25" i="67"/>
  <c r="F28" i="67"/>
  <c r="F28" i="64"/>
  <c r="F31" i="64"/>
  <c r="F29" i="65"/>
  <c r="F32" i="65" s="1"/>
  <c r="F25" i="63"/>
  <c r="F28" i="63"/>
  <c r="F28" i="65"/>
  <c r="F31" i="65" s="1"/>
  <c r="F24" i="63"/>
  <c r="F27" i="63" s="1"/>
  <c r="F22" i="62"/>
  <c r="F21" i="62"/>
  <c r="F29" i="63" l="1"/>
  <c r="F31" i="63" s="1"/>
  <c r="F29" i="67"/>
  <c r="F31" i="67"/>
  <c r="F33" i="65"/>
  <c r="F35" i="65"/>
  <c r="F36" i="65"/>
  <c r="F34" i="65"/>
  <c r="F32" i="66"/>
  <c r="F34" i="66" s="1"/>
  <c r="F32" i="64"/>
  <c r="F34" i="64" s="1"/>
  <c r="F33" i="64"/>
  <c r="F35" i="64"/>
  <c r="F33" i="66"/>
  <c r="F35" i="66" s="1"/>
  <c r="F30" i="67"/>
  <c r="F32" i="67"/>
  <c r="F30" i="63"/>
  <c r="F32" i="63" s="1"/>
  <c r="F23" i="62"/>
  <c r="F26" i="62"/>
  <c r="F24" i="62"/>
  <c r="F27" i="62" s="1"/>
  <c r="F29" i="62" l="1"/>
  <c r="F31" i="62" s="1"/>
  <c r="F28" i="62"/>
  <c r="F30" i="62" s="1"/>
  <c r="Q11" i="62" l="1"/>
  <c r="Q10" i="62"/>
  <c r="Q9" i="62"/>
  <c r="Q8" i="62"/>
  <c r="Q7" i="62"/>
  <c r="Q6" i="62"/>
  <c r="Q5" i="62"/>
  <c r="Q4" i="62"/>
  <c r="Q12" i="62" s="1"/>
  <c r="Q13" i="62" l="1"/>
  <c r="Q14" i="62" s="1"/>
  <c r="Q15" i="62" l="1"/>
  <c r="Q20" i="62" l="1"/>
  <c r="Q21" i="62"/>
  <c r="Q18" i="62"/>
  <c r="Q16" i="62"/>
  <c r="Q17" i="62" l="1"/>
  <c r="Q19" i="62" s="1"/>
  <c r="Q23" i="62" l="1"/>
  <c r="Q22" i="62"/>
  <c r="Q24" i="62" l="1"/>
  <c r="Q27" i="62"/>
  <c r="Q25" i="62"/>
  <c r="Q28" i="62" s="1"/>
  <c r="Q30" i="62" l="1"/>
  <c r="Q32" i="62" s="1"/>
  <c r="Q29" i="62"/>
  <c r="Q31" i="62" s="1"/>
  <c r="X31" i="61" l="1"/>
  <c r="X30" i="61"/>
  <c r="Q11" i="61"/>
  <c r="Q10" i="61"/>
  <c r="Q9" i="61"/>
  <c r="Q8" i="61"/>
  <c r="Q12" i="61" s="1"/>
  <c r="Q7" i="61"/>
  <c r="Q6" i="61"/>
  <c r="Q5" i="61"/>
  <c r="Q4" i="61"/>
  <c r="Q13" i="61" l="1"/>
  <c r="Q14" i="61" s="1"/>
  <c r="Q15" i="61" l="1"/>
  <c r="Q18" i="61" l="1"/>
  <c r="Q21" i="61"/>
  <c r="Q20" i="61"/>
  <c r="Q16" i="61"/>
  <c r="Q17" i="61" l="1"/>
  <c r="Q19" i="61" s="1"/>
  <c r="Q23" i="61" l="1"/>
  <c r="Q22" i="61"/>
  <c r="Q24" i="61" l="1"/>
  <c r="Q27" i="61" s="1"/>
  <c r="Q25" i="61"/>
  <c r="Q28" i="61"/>
  <c r="Q29" i="61" l="1"/>
  <c r="Q31" i="61" s="1"/>
  <c r="Q30" i="61"/>
  <c r="Q32" i="61" s="1"/>
  <c r="F11" i="61" l="1"/>
  <c r="F12" i="61" s="1"/>
  <c r="F13" i="61" s="1"/>
  <c r="F10" i="61"/>
  <c r="F9" i="61"/>
  <c r="F8" i="61"/>
  <c r="F7" i="61"/>
  <c r="F6" i="61"/>
  <c r="F5" i="61"/>
  <c r="F4" i="61"/>
  <c r="F14" i="61" l="1"/>
  <c r="F17" i="61" l="1"/>
  <c r="F20" i="61"/>
  <c r="F19" i="61"/>
  <c r="F15" i="61"/>
  <c r="F16" i="61" l="1"/>
  <c r="F18" i="61" s="1"/>
  <c r="F22" i="61" l="1"/>
  <c r="F21" i="61"/>
  <c r="F23" i="61" l="1"/>
  <c r="F26" i="61" s="1"/>
  <c r="F24" i="61"/>
  <c r="F27" i="61" s="1"/>
  <c r="F29" i="61" l="1"/>
  <c r="F31" i="61" s="1"/>
  <c r="F28" i="61"/>
  <c r="F30" i="61" s="1"/>
  <c r="J38" i="4" l="1"/>
  <c r="S38" i="4" s="1"/>
  <c r="J39" i="4"/>
  <c r="S39" i="4" s="1"/>
  <c r="J40" i="4"/>
  <c r="S40" i="4" s="1"/>
  <c r="J41" i="4"/>
  <c r="S41" i="4" s="1"/>
  <c r="B36" i="35"/>
  <c r="B37" i="35"/>
  <c r="G37" i="35" s="1"/>
  <c r="C36" i="35"/>
  <c r="C37" i="35"/>
  <c r="D36" i="35"/>
  <c r="I36" i="35" s="1"/>
  <c r="J36" i="4" s="1"/>
  <c r="D37" i="35"/>
  <c r="I37" i="35" s="1"/>
  <c r="J37" i="4" s="1"/>
  <c r="H36" i="35"/>
  <c r="H37" i="35"/>
  <c r="G36" i="35"/>
  <c r="O37" i="35"/>
  <c r="O36" i="35"/>
  <c r="N36" i="35"/>
  <c r="N37" i="35"/>
  <c r="J37" i="35"/>
  <c r="J36" i="35"/>
  <c r="C3" i="60"/>
  <c r="C4" i="60"/>
  <c r="C5" i="60"/>
  <c r="C6" i="60"/>
  <c r="C7" i="60"/>
  <c r="C8" i="60"/>
  <c r="C9" i="60"/>
  <c r="C10" i="60"/>
  <c r="C11" i="60"/>
  <c r="C12" i="60"/>
  <c r="C13" i="60"/>
  <c r="C14" i="60"/>
  <c r="C15" i="60"/>
  <c r="C16" i="60"/>
  <c r="C17" i="60"/>
  <c r="C18" i="60"/>
  <c r="C19" i="60"/>
  <c r="C20" i="60"/>
  <c r="C21" i="60"/>
  <c r="C22" i="60"/>
  <c r="C23" i="60"/>
  <c r="C24" i="60"/>
  <c r="C25" i="60"/>
  <c r="C26" i="60"/>
  <c r="C27" i="60"/>
  <c r="C28" i="60"/>
  <c r="C29" i="60"/>
  <c r="C30" i="60"/>
  <c r="C31" i="60"/>
  <c r="C32" i="60"/>
  <c r="C33" i="60"/>
  <c r="C34" i="60"/>
  <c r="C35" i="60"/>
  <c r="C2" i="60"/>
  <c r="X3" i="4"/>
  <c r="X4" i="4"/>
  <c r="X5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X2" i="4"/>
  <c r="W2" i="4"/>
  <c r="V3" i="4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2" i="4"/>
  <c r="D3" i="35"/>
  <c r="I3" i="35" s="1"/>
  <c r="D4" i="35"/>
  <c r="I4" i="35" s="1"/>
  <c r="D5" i="35"/>
  <c r="I5" i="35" s="1"/>
  <c r="D6" i="35"/>
  <c r="I6" i="35" s="1"/>
  <c r="D7" i="35"/>
  <c r="I7" i="35" s="1"/>
  <c r="D8" i="35"/>
  <c r="I8" i="35" s="1"/>
  <c r="D9" i="35"/>
  <c r="I9" i="35" s="1"/>
  <c r="D10" i="35"/>
  <c r="I10" i="35" s="1"/>
  <c r="D11" i="35"/>
  <c r="I11" i="35" s="1"/>
  <c r="D12" i="35"/>
  <c r="I12" i="35" s="1"/>
  <c r="D13" i="35"/>
  <c r="I13" i="35" s="1"/>
  <c r="D14" i="35"/>
  <c r="I14" i="35" s="1"/>
  <c r="D15" i="35"/>
  <c r="I15" i="35" s="1"/>
  <c r="D16" i="35"/>
  <c r="I16" i="35" s="1"/>
  <c r="D17" i="35"/>
  <c r="I17" i="35" s="1"/>
  <c r="D18" i="35"/>
  <c r="I18" i="35" s="1"/>
  <c r="D19" i="35"/>
  <c r="I19" i="35" s="1"/>
  <c r="D20" i="35"/>
  <c r="I20" i="35" s="1"/>
  <c r="D21" i="35"/>
  <c r="I21" i="35" s="1"/>
  <c r="D22" i="35"/>
  <c r="I22" i="35" s="1"/>
  <c r="D23" i="35"/>
  <c r="I23" i="35" s="1"/>
  <c r="D24" i="35"/>
  <c r="I24" i="35" s="1"/>
  <c r="D25" i="35"/>
  <c r="I25" i="35" s="1"/>
  <c r="D26" i="35"/>
  <c r="I26" i="35" s="1"/>
  <c r="D27" i="35"/>
  <c r="I27" i="35" s="1"/>
  <c r="D28" i="35"/>
  <c r="I28" i="35" s="1"/>
  <c r="D29" i="35"/>
  <c r="I29" i="35" s="1"/>
  <c r="D30" i="35"/>
  <c r="I30" i="35" s="1"/>
  <c r="D31" i="35"/>
  <c r="I31" i="35" s="1"/>
  <c r="D32" i="35"/>
  <c r="I32" i="35" s="1"/>
  <c r="D33" i="35"/>
  <c r="I33" i="35" s="1"/>
  <c r="D34" i="35"/>
  <c r="I34" i="35" s="1"/>
  <c r="D35" i="35"/>
  <c r="I35" i="35" s="1"/>
  <c r="C3" i="35"/>
  <c r="H3" i="35" s="1"/>
  <c r="C4" i="35"/>
  <c r="H4" i="35" s="1"/>
  <c r="C5" i="35"/>
  <c r="H5" i="35" s="1"/>
  <c r="C6" i="35"/>
  <c r="H6" i="35" s="1"/>
  <c r="C7" i="35"/>
  <c r="H7" i="35" s="1"/>
  <c r="C8" i="35"/>
  <c r="H8" i="35" s="1"/>
  <c r="C9" i="35"/>
  <c r="H9" i="35" s="1"/>
  <c r="C10" i="35"/>
  <c r="H10" i="35" s="1"/>
  <c r="C11" i="35"/>
  <c r="H11" i="35" s="1"/>
  <c r="C12" i="35"/>
  <c r="H12" i="35" s="1"/>
  <c r="C13" i="35"/>
  <c r="H13" i="35" s="1"/>
  <c r="C14" i="35"/>
  <c r="H14" i="35" s="1"/>
  <c r="C15" i="35"/>
  <c r="H15" i="35" s="1"/>
  <c r="C16" i="35"/>
  <c r="H16" i="35" s="1"/>
  <c r="C17" i="35"/>
  <c r="H17" i="35" s="1"/>
  <c r="C18" i="35"/>
  <c r="H18" i="35" s="1"/>
  <c r="C19" i="35"/>
  <c r="H19" i="35" s="1"/>
  <c r="C20" i="35"/>
  <c r="H20" i="35" s="1"/>
  <c r="C21" i="35"/>
  <c r="H21" i="35" s="1"/>
  <c r="C22" i="35"/>
  <c r="H22" i="35" s="1"/>
  <c r="C23" i="35"/>
  <c r="H23" i="35" s="1"/>
  <c r="C24" i="35"/>
  <c r="H24" i="35" s="1"/>
  <c r="C25" i="35"/>
  <c r="H25" i="35" s="1"/>
  <c r="C26" i="35"/>
  <c r="H26" i="35" s="1"/>
  <c r="C27" i="35"/>
  <c r="H27" i="35" s="1"/>
  <c r="C28" i="35"/>
  <c r="H28" i="35" s="1"/>
  <c r="C29" i="35"/>
  <c r="H29" i="35" s="1"/>
  <c r="C30" i="35"/>
  <c r="H30" i="35" s="1"/>
  <c r="C31" i="35"/>
  <c r="H31" i="35" s="1"/>
  <c r="C32" i="35"/>
  <c r="H32" i="35" s="1"/>
  <c r="C33" i="35"/>
  <c r="H33" i="35" s="1"/>
  <c r="C34" i="35"/>
  <c r="H34" i="35" s="1"/>
  <c r="C35" i="35"/>
  <c r="H35" i="35" s="1"/>
  <c r="D2" i="35"/>
  <c r="I2" i="35" s="1"/>
  <c r="C2" i="35"/>
  <c r="H2" i="35" s="1"/>
  <c r="P26" i="35"/>
  <c r="O26" i="35"/>
  <c r="N26" i="35"/>
  <c r="P35" i="35"/>
  <c r="O35" i="35"/>
  <c r="N35" i="35"/>
  <c r="P10" i="35"/>
  <c r="O10" i="35"/>
  <c r="N10" i="35"/>
  <c r="P24" i="35"/>
  <c r="O24" i="35"/>
  <c r="N24" i="35"/>
  <c r="P9" i="35"/>
  <c r="O9" i="35"/>
  <c r="N9" i="35"/>
  <c r="P8" i="35"/>
  <c r="O8" i="35"/>
  <c r="N8" i="35"/>
  <c r="P33" i="35"/>
  <c r="O33" i="35"/>
  <c r="N33" i="35"/>
  <c r="N17" i="35"/>
  <c r="P17" i="35"/>
  <c r="O17" i="35"/>
  <c r="P13" i="35"/>
  <c r="O13" i="35"/>
  <c r="N13" i="35"/>
  <c r="P14" i="35"/>
  <c r="O14" i="35"/>
  <c r="N14" i="35"/>
  <c r="F32" i="59"/>
  <c r="B32" i="59"/>
  <c r="O32" i="59" s="1"/>
  <c r="F15" i="59"/>
  <c r="B15" i="59"/>
  <c r="E15" i="59" s="1"/>
  <c r="F17" i="59"/>
  <c r="B17" i="59"/>
  <c r="O17" i="59" s="1"/>
  <c r="F30" i="59"/>
  <c r="B30" i="59"/>
  <c r="O30" i="59" s="1"/>
  <c r="F35" i="59"/>
  <c r="B35" i="59"/>
  <c r="O35" i="59" s="1"/>
  <c r="F23" i="59"/>
  <c r="B23" i="59"/>
  <c r="O23" i="59" s="1"/>
  <c r="F29" i="59"/>
  <c r="B29" i="59"/>
  <c r="O29" i="59" s="1"/>
  <c r="F19" i="59"/>
  <c r="B19" i="59"/>
  <c r="O19" i="59" s="1"/>
  <c r="F34" i="59"/>
  <c r="B34" i="59"/>
  <c r="O34" i="59" s="1"/>
  <c r="F33" i="59"/>
  <c r="B33" i="59"/>
  <c r="E33" i="59" s="1"/>
  <c r="F26" i="59"/>
  <c r="B26" i="59"/>
  <c r="E26" i="59" s="1"/>
  <c r="F27" i="59"/>
  <c r="B27" i="59"/>
  <c r="O27" i="59" s="1"/>
  <c r="F22" i="59"/>
  <c r="B22" i="59"/>
  <c r="O22" i="59" s="1"/>
  <c r="F28" i="59"/>
  <c r="B28" i="59"/>
  <c r="E28" i="59" s="1"/>
  <c r="F18" i="59"/>
  <c r="B18" i="59"/>
  <c r="E18" i="59" s="1"/>
  <c r="F25" i="59"/>
  <c r="B25" i="59"/>
  <c r="E25" i="59" s="1"/>
  <c r="F24" i="59"/>
  <c r="B24" i="59"/>
  <c r="O24" i="59" s="1"/>
  <c r="F14" i="59"/>
  <c r="B14" i="59"/>
  <c r="E14" i="59" s="1"/>
  <c r="F13" i="59"/>
  <c r="B13" i="59"/>
  <c r="E13" i="59" s="1"/>
  <c r="F10" i="59"/>
  <c r="B10" i="59"/>
  <c r="O10" i="59" s="1"/>
  <c r="F9" i="59"/>
  <c r="B9" i="59"/>
  <c r="O9" i="59" s="1"/>
  <c r="F11" i="59"/>
  <c r="B11" i="59"/>
  <c r="E11" i="59" s="1"/>
  <c r="F12" i="59"/>
  <c r="B12" i="59"/>
  <c r="E12" i="59" s="1"/>
  <c r="F7" i="59"/>
  <c r="B7" i="59"/>
  <c r="E7" i="59" s="1"/>
  <c r="F6" i="59"/>
  <c r="B6" i="59"/>
  <c r="O6" i="59" s="1"/>
  <c r="F31" i="59"/>
  <c r="B31" i="59"/>
  <c r="E31" i="59" s="1"/>
  <c r="F21" i="59"/>
  <c r="B21" i="59"/>
  <c r="E21" i="59" s="1"/>
  <c r="F20" i="59"/>
  <c r="B20" i="59"/>
  <c r="O20" i="59" s="1"/>
  <c r="F16" i="59"/>
  <c r="B16" i="59"/>
  <c r="O16" i="59" s="1"/>
  <c r="L5" i="59"/>
  <c r="K5" i="59"/>
  <c r="J5" i="59"/>
  <c r="F5" i="59"/>
  <c r="B5" i="59"/>
  <c r="E5" i="59" s="1"/>
  <c r="F4" i="59"/>
  <c r="B4" i="59"/>
  <c r="E4" i="59" s="1"/>
  <c r="L2" i="59"/>
  <c r="K2" i="59"/>
  <c r="J2" i="59"/>
  <c r="F2" i="59"/>
  <c r="B2" i="59"/>
  <c r="E2" i="59" s="1"/>
  <c r="L3" i="59"/>
  <c r="K3" i="59"/>
  <c r="J3" i="59"/>
  <c r="F3" i="59"/>
  <c r="B3" i="59"/>
  <c r="E3" i="59" s="1"/>
  <c r="L8" i="59"/>
  <c r="K8" i="59"/>
  <c r="J8" i="59"/>
  <c r="F8" i="59"/>
  <c r="B8" i="59"/>
  <c r="E8" i="59" s="1"/>
  <c r="P2" i="35"/>
  <c r="O2" i="35"/>
  <c r="N2" i="35"/>
  <c r="P6" i="35"/>
  <c r="O6" i="35"/>
  <c r="N6" i="35"/>
  <c r="P3" i="35"/>
  <c r="O3" i="35"/>
  <c r="N3" i="35"/>
  <c r="P4" i="35"/>
  <c r="O4" i="35"/>
  <c r="N4" i="35"/>
  <c r="D2" i="4"/>
  <c r="B2" i="46"/>
  <c r="K2" i="46" s="1"/>
  <c r="J35" i="46"/>
  <c r="F35" i="46"/>
  <c r="B35" i="46"/>
  <c r="K35" i="46" s="1"/>
  <c r="J34" i="46"/>
  <c r="F34" i="46"/>
  <c r="B34" i="46"/>
  <c r="E34" i="46" s="1"/>
  <c r="J33" i="46"/>
  <c r="F33" i="46"/>
  <c r="B33" i="46"/>
  <c r="K33" i="46" s="1"/>
  <c r="J32" i="46"/>
  <c r="F32" i="46"/>
  <c r="B32" i="46"/>
  <c r="E32" i="46" s="1"/>
  <c r="J31" i="46"/>
  <c r="F31" i="46"/>
  <c r="B31" i="46"/>
  <c r="K31" i="46" s="1"/>
  <c r="J30" i="46"/>
  <c r="F30" i="46"/>
  <c r="B30" i="46"/>
  <c r="E30" i="46" s="1"/>
  <c r="J29" i="46"/>
  <c r="F29" i="46"/>
  <c r="B29" i="46"/>
  <c r="K29" i="46" s="1"/>
  <c r="J28" i="46"/>
  <c r="F28" i="46"/>
  <c r="B28" i="46"/>
  <c r="E28" i="46" s="1"/>
  <c r="J27" i="46"/>
  <c r="F27" i="46"/>
  <c r="B27" i="46"/>
  <c r="E27" i="46" s="1"/>
  <c r="J26" i="46"/>
  <c r="F26" i="46"/>
  <c r="B26" i="46"/>
  <c r="K26" i="46" s="1"/>
  <c r="J25" i="46"/>
  <c r="F25" i="46"/>
  <c r="B25" i="46"/>
  <c r="K25" i="46" s="1"/>
  <c r="J24" i="46"/>
  <c r="F24" i="46"/>
  <c r="B24" i="46"/>
  <c r="E24" i="46" s="1"/>
  <c r="J23" i="46"/>
  <c r="F23" i="46"/>
  <c r="B23" i="46"/>
  <c r="K23" i="46" s="1"/>
  <c r="J22" i="46"/>
  <c r="F22" i="46"/>
  <c r="B22" i="46"/>
  <c r="E22" i="46" s="1"/>
  <c r="J21" i="46"/>
  <c r="F21" i="46"/>
  <c r="B21" i="46"/>
  <c r="E21" i="46" s="1"/>
  <c r="J20" i="46"/>
  <c r="F20" i="46"/>
  <c r="B20" i="46"/>
  <c r="E20" i="46" s="1"/>
  <c r="J19" i="46"/>
  <c r="F19" i="46"/>
  <c r="B19" i="46"/>
  <c r="K19" i="46" s="1"/>
  <c r="J18" i="46"/>
  <c r="F18" i="46"/>
  <c r="B18" i="46"/>
  <c r="K18" i="46" s="1"/>
  <c r="J17" i="46"/>
  <c r="F17" i="46"/>
  <c r="B17" i="46"/>
  <c r="K17" i="46" s="1"/>
  <c r="J16" i="46"/>
  <c r="F16" i="46"/>
  <c r="B16" i="46"/>
  <c r="E16" i="46" s="1"/>
  <c r="J15" i="46"/>
  <c r="F15" i="46"/>
  <c r="B15" i="46"/>
  <c r="K15" i="46" s="1"/>
  <c r="J14" i="46"/>
  <c r="F14" i="46"/>
  <c r="B14" i="46"/>
  <c r="E14" i="46" s="1"/>
  <c r="J13" i="46"/>
  <c r="F13" i="46"/>
  <c r="B13" i="46"/>
  <c r="K13" i="46" s="1"/>
  <c r="J12" i="46"/>
  <c r="F12" i="46"/>
  <c r="B12" i="46"/>
  <c r="E12" i="46" s="1"/>
  <c r="J11" i="46"/>
  <c r="F11" i="46"/>
  <c r="B11" i="46"/>
  <c r="K11" i="46" s="1"/>
  <c r="J10" i="46"/>
  <c r="F10" i="46"/>
  <c r="B10" i="46"/>
  <c r="K10" i="46" s="1"/>
  <c r="J9" i="46"/>
  <c r="F9" i="46"/>
  <c r="B9" i="46"/>
  <c r="K9" i="46" s="1"/>
  <c r="J8" i="46"/>
  <c r="F8" i="46"/>
  <c r="B8" i="46"/>
  <c r="E8" i="46" s="1"/>
  <c r="J7" i="46"/>
  <c r="F7" i="46"/>
  <c r="B7" i="46"/>
  <c r="K7" i="46" s="1"/>
  <c r="J6" i="46"/>
  <c r="F6" i="46"/>
  <c r="B6" i="46"/>
  <c r="E6" i="46" s="1"/>
  <c r="J5" i="46"/>
  <c r="F5" i="46"/>
  <c r="B5" i="46"/>
  <c r="K5" i="46" s="1"/>
  <c r="J4" i="46"/>
  <c r="F4" i="46"/>
  <c r="B4" i="46"/>
  <c r="E4" i="46" s="1"/>
  <c r="J3" i="46"/>
  <c r="F3" i="46"/>
  <c r="B3" i="46"/>
  <c r="E3" i="46" s="1"/>
  <c r="J2" i="46"/>
  <c r="F2" i="46"/>
  <c r="F12" i="42"/>
  <c r="F11" i="43"/>
  <c r="F12" i="44"/>
  <c r="F12" i="45"/>
  <c r="G20" i="45"/>
  <c r="F20" i="45"/>
  <c r="G19" i="45"/>
  <c r="F19" i="45"/>
  <c r="G18" i="45"/>
  <c r="F18" i="45"/>
  <c r="G17" i="45"/>
  <c r="F17" i="45"/>
  <c r="G16" i="45"/>
  <c r="F16" i="45"/>
  <c r="G15" i="45"/>
  <c r="F15" i="45"/>
  <c r="G14" i="45"/>
  <c r="F14" i="45"/>
  <c r="G13" i="45"/>
  <c r="F13" i="45"/>
  <c r="G12" i="45"/>
  <c r="F11" i="45"/>
  <c r="G10" i="45"/>
  <c r="F10" i="45"/>
  <c r="G9" i="45"/>
  <c r="F9" i="45"/>
  <c r="M41" i="4" l="1"/>
  <c r="P41" i="4" s="1"/>
  <c r="M40" i="4"/>
  <c r="P40" i="4" s="1"/>
  <c r="M39" i="4"/>
  <c r="P39" i="4" s="1"/>
  <c r="M38" i="4"/>
  <c r="P38" i="4" s="1"/>
  <c r="S36" i="4"/>
  <c r="M36" i="4"/>
  <c r="P36" i="4" s="1"/>
  <c r="S37" i="4"/>
  <c r="M37" i="4"/>
  <c r="P37" i="4" s="1"/>
  <c r="O12" i="59"/>
  <c r="M12" i="59" s="1"/>
  <c r="O2" i="59"/>
  <c r="M2" i="59" s="1"/>
  <c r="O18" i="59"/>
  <c r="M18" i="59" s="1"/>
  <c r="O14" i="59"/>
  <c r="M14" i="59" s="1"/>
  <c r="O31" i="59"/>
  <c r="M31" i="59" s="1"/>
  <c r="O33" i="59"/>
  <c r="M33" i="59" s="1"/>
  <c r="O21" i="59"/>
  <c r="N21" i="59" s="1"/>
  <c r="O26" i="59"/>
  <c r="N26" i="59" s="1"/>
  <c r="O4" i="59"/>
  <c r="M4" i="59" s="1"/>
  <c r="O13" i="59"/>
  <c r="M13" i="59" s="1"/>
  <c r="O28" i="59"/>
  <c r="M28" i="59" s="1"/>
  <c r="O11" i="59"/>
  <c r="M11" i="59" s="1"/>
  <c r="O8" i="59"/>
  <c r="N8" i="59" s="1"/>
  <c r="O3" i="59"/>
  <c r="M3" i="59" s="1"/>
  <c r="O5" i="59"/>
  <c r="M5" i="59" s="1"/>
  <c r="E10" i="59"/>
  <c r="E27" i="59"/>
  <c r="E23" i="59"/>
  <c r="E16" i="59"/>
  <c r="E6" i="59"/>
  <c r="E22" i="59"/>
  <c r="E34" i="59"/>
  <c r="O15" i="59"/>
  <c r="E20" i="59"/>
  <c r="E30" i="59"/>
  <c r="O7" i="59"/>
  <c r="M7" i="59" s="1"/>
  <c r="O25" i="59"/>
  <c r="M25" i="59" s="1"/>
  <c r="E29" i="59"/>
  <c r="E35" i="59"/>
  <c r="E17" i="59"/>
  <c r="E32" i="59"/>
  <c r="E9" i="59"/>
  <c r="E19" i="59"/>
  <c r="E24" i="59"/>
  <c r="E29" i="46"/>
  <c r="E5" i="46"/>
  <c r="K3" i="46"/>
  <c r="K12" i="46"/>
  <c r="K22" i="46"/>
  <c r="K27" i="46"/>
  <c r="K20" i="46"/>
  <c r="E11" i="46"/>
  <c r="K4" i="46"/>
  <c r="K6" i="46"/>
  <c r="K21" i="46"/>
  <c r="E35" i="46"/>
  <c r="E19" i="46"/>
  <c r="K14" i="46"/>
  <c r="E13" i="46"/>
  <c r="K28" i="46"/>
  <c r="K30" i="46"/>
  <c r="E33" i="46"/>
  <c r="K34" i="46"/>
  <c r="E2" i="46"/>
  <c r="E10" i="46"/>
  <c r="E18" i="46"/>
  <c r="E26" i="46"/>
  <c r="E7" i="46"/>
  <c r="K8" i="46"/>
  <c r="E15" i="46"/>
  <c r="K16" i="46"/>
  <c r="E23" i="46"/>
  <c r="K24" i="46"/>
  <c r="E31" i="46"/>
  <c r="K32" i="46"/>
  <c r="E9" i="46"/>
  <c r="E17" i="46"/>
  <c r="E25" i="46"/>
  <c r="F21" i="45"/>
  <c r="F22" i="45"/>
  <c r="F23" i="45" s="1"/>
  <c r="N12" i="59" l="1"/>
  <c r="N18" i="59"/>
  <c r="N2" i="59"/>
  <c r="N14" i="59"/>
  <c r="M21" i="59"/>
  <c r="N11" i="59"/>
  <c r="N33" i="59"/>
  <c r="N31" i="59"/>
  <c r="N4" i="59"/>
  <c r="N5" i="59"/>
  <c r="N13" i="59"/>
  <c r="N28" i="59"/>
  <c r="M26" i="59"/>
  <c r="N25" i="59"/>
  <c r="N27" i="59"/>
  <c r="M27" i="59"/>
  <c r="N9" i="59"/>
  <c r="M9" i="59"/>
  <c r="N20" i="59"/>
  <c r="M20" i="59"/>
  <c r="N10" i="59"/>
  <c r="M10" i="59"/>
  <c r="N24" i="59"/>
  <c r="M24" i="59"/>
  <c r="N22" i="59"/>
  <c r="M22" i="59"/>
  <c r="N7" i="59"/>
  <c r="N6" i="59"/>
  <c r="M6" i="59"/>
  <c r="M8" i="59"/>
  <c r="N3" i="59"/>
  <c r="N34" i="59"/>
  <c r="M34" i="59"/>
  <c r="N16" i="59"/>
  <c r="M16" i="59"/>
  <c r="F24" i="45"/>
  <c r="F29" i="45" l="1"/>
  <c r="F30" i="45"/>
  <c r="F27" i="45"/>
  <c r="F25" i="45"/>
  <c r="F26" i="45" l="1"/>
  <c r="F28" i="45" s="1"/>
  <c r="F32" i="45" l="1"/>
  <c r="F31" i="45"/>
  <c r="F33" i="45" l="1"/>
  <c r="F36" i="45" s="1"/>
  <c r="F34" i="45"/>
  <c r="F37" i="45" s="1"/>
  <c r="F39" i="45" l="1"/>
  <c r="F41" i="45" s="1"/>
  <c r="D35" i="4" s="1"/>
  <c r="F38" i="45"/>
  <c r="F40" i="45" s="1"/>
  <c r="G20" i="44" l="1"/>
  <c r="F20" i="44"/>
  <c r="G19" i="44"/>
  <c r="F19" i="44"/>
  <c r="G18" i="44"/>
  <c r="F18" i="44"/>
  <c r="G17" i="44"/>
  <c r="F17" i="44"/>
  <c r="G16" i="44"/>
  <c r="F16" i="44"/>
  <c r="G15" i="44"/>
  <c r="F15" i="44"/>
  <c r="G14" i="44"/>
  <c r="F14" i="44"/>
  <c r="G13" i="44"/>
  <c r="F13" i="44"/>
  <c r="G12" i="44"/>
  <c r="F11" i="44"/>
  <c r="G10" i="44"/>
  <c r="F10" i="44"/>
  <c r="G9" i="44"/>
  <c r="F9" i="44"/>
  <c r="F21" i="44" s="1"/>
  <c r="F22" i="44" l="1"/>
  <c r="F23" i="44" s="1"/>
  <c r="F24" i="44" l="1"/>
  <c r="F29" i="44" l="1"/>
  <c r="F27" i="44"/>
  <c r="F30" i="44"/>
  <c r="F25" i="44"/>
  <c r="F26" i="44" l="1"/>
  <c r="F28" i="44" s="1"/>
  <c r="F32" i="44" l="1"/>
  <c r="F31" i="44"/>
  <c r="F33" i="44" l="1"/>
  <c r="F36" i="44" s="1"/>
  <c r="F34" i="44"/>
  <c r="F37" i="44" s="1"/>
  <c r="F39" i="44" l="1"/>
  <c r="F41" i="44" s="1"/>
  <c r="D34" i="4" s="1"/>
  <c r="F38" i="44"/>
  <c r="F40" i="44" s="1"/>
  <c r="G19" i="43" l="1"/>
  <c r="F19" i="43"/>
  <c r="G18" i="43"/>
  <c r="F18" i="43"/>
  <c r="G17" i="43"/>
  <c r="F17" i="43"/>
  <c r="G16" i="43"/>
  <c r="F16" i="43"/>
  <c r="G15" i="43"/>
  <c r="F15" i="43"/>
  <c r="G14" i="43"/>
  <c r="F14" i="43"/>
  <c r="G13" i="43"/>
  <c r="F13" i="43"/>
  <c r="G12" i="43"/>
  <c r="F12" i="43" s="1"/>
  <c r="G10" i="43"/>
  <c r="F10" i="43"/>
  <c r="G9" i="43"/>
  <c r="F9" i="43"/>
  <c r="F20" i="43" l="1"/>
  <c r="F21" i="43" l="1"/>
  <c r="F22" i="43" s="1"/>
  <c r="F23" i="43" l="1"/>
  <c r="F24" i="43" l="1"/>
  <c r="F29" i="43"/>
  <c r="F28" i="43"/>
  <c r="F26" i="43"/>
  <c r="F25" i="43"/>
  <c r="F27" i="43" l="1"/>
  <c r="F31" i="43" l="1"/>
  <c r="F30" i="43"/>
  <c r="F32" i="43" l="1"/>
  <c r="F35" i="43"/>
  <c r="F33" i="43"/>
  <c r="F36" i="43" s="1"/>
  <c r="F38" i="43" l="1"/>
  <c r="F40" i="43" s="1"/>
  <c r="D33" i="4" s="1"/>
  <c r="F37" i="43"/>
  <c r="F39" i="43" s="1"/>
  <c r="G19" i="42"/>
  <c r="F19" i="42"/>
  <c r="G18" i="42"/>
  <c r="F18" i="42"/>
  <c r="G17" i="42"/>
  <c r="F17" i="42"/>
  <c r="G16" i="42"/>
  <c r="F16" i="42"/>
  <c r="G15" i="42"/>
  <c r="F15" i="42"/>
  <c r="G14" i="42"/>
  <c r="F14" i="42"/>
  <c r="G13" i="42"/>
  <c r="F13" i="42"/>
  <c r="G12" i="42"/>
  <c r="F11" i="42"/>
  <c r="G10" i="42"/>
  <c r="F10" i="42"/>
  <c r="G9" i="42"/>
  <c r="F9" i="42"/>
  <c r="F20" i="42" s="1"/>
  <c r="F21" i="42" l="1"/>
  <c r="F22" i="42" s="1"/>
  <c r="F23" i="42" l="1"/>
  <c r="F28" i="42" l="1"/>
  <c r="F29" i="42"/>
  <c r="F24" i="42"/>
  <c r="F26" i="42"/>
  <c r="F25" i="42" l="1"/>
  <c r="F27" i="42" s="1"/>
  <c r="F31" i="42" l="1"/>
  <c r="F30" i="42"/>
  <c r="F32" i="42" l="1"/>
  <c r="F35" i="42" s="1"/>
  <c r="F33" i="42"/>
  <c r="F36" i="42" s="1"/>
  <c r="F38" i="42" l="1"/>
  <c r="F40" i="42" s="1"/>
  <c r="D32" i="4" s="1"/>
  <c r="F37" i="42"/>
  <c r="F39" i="42" s="1"/>
  <c r="B32" i="35" l="1"/>
  <c r="G32" i="35" s="1"/>
  <c r="B33" i="35"/>
  <c r="G33" i="35" s="1"/>
  <c r="B34" i="35"/>
  <c r="G34" i="35" s="1"/>
  <c r="B35" i="35"/>
  <c r="G35" i="35" s="1"/>
  <c r="B31" i="35"/>
  <c r="G31" i="35" s="1"/>
  <c r="C28" i="38"/>
  <c r="C29" i="38"/>
  <c r="C30" i="38"/>
  <c r="C31" i="38"/>
  <c r="C32" i="38"/>
  <c r="B29" i="38"/>
  <c r="J35" i="35"/>
  <c r="J34" i="35"/>
  <c r="J33" i="35"/>
  <c r="J32" i="35"/>
  <c r="J31" i="35"/>
  <c r="Q35" i="35" l="1"/>
  <c r="Q34" i="35"/>
  <c r="Q33" i="35"/>
  <c r="H33" i="4" s="1"/>
  <c r="Q32" i="35"/>
  <c r="H32" i="4" s="1"/>
  <c r="Q31" i="35"/>
  <c r="I34" i="4" l="1"/>
  <c r="J34" i="4"/>
  <c r="J35" i="4"/>
  <c r="I35" i="4"/>
  <c r="L35" i="4" s="1"/>
  <c r="O35" i="4" s="1"/>
  <c r="J31" i="4"/>
  <c r="I31" i="4"/>
  <c r="H34" i="4"/>
  <c r="I33" i="4"/>
  <c r="J33" i="4"/>
  <c r="M33" i="4" s="1"/>
  <c r="P33" i="4" s="1"/>
  <c r="H35" i="4"/>
  <c r="I32" i="4"/>
  <c r="J32" i="4"/>
  <c r="H31" i="4"/>
  <c r="K31" i="4" s="1"/>
  <c r="R34" i="4"/>
  <c r="Q33" i="4"/>
  <c r="K34" i="4"/>
  <c r="N34" i="4" s="1"/>
  <c r="S33" i="4"/>
  <c r="K35" i="4"/>
  <c r="N35" i="4" s="1"/>
  <c r="Q32" i="4"/>
  <c r="K32" i="4"/>
  <c r="N32" i="4" s="1"/>
  <c r="L34" i="4" l="1"/>
  <c r="O34" i="4" s="1"/>
  <c r="R35" i="4"/>
  <c r="R32" i="4"/>
  <c r="L32" i="4"/>
  <c r="O32" i="4" s="1"/>
  <c r="S34" i="4"/>
  <c r="M34" i="4"/>
  <c r="P34" i="4" s="1"/>
  <c r="L31" i="4"/>
  <c r="R33" i="4"/>
  <c r="L33" i="4"/>
  <c r="O33" i="4" s="1"/>
  <c r="S35" i="4"/>
  <c r="M35" i="4"/>
  <c r="P35" i="4" s="1"/>
  <c r="M31" i="4"/>
  <c r="M32" i="4"/>
  <c r="P32" i="4" s="1"/>
  <c r="S32" i="4"/>
  <c r="K33" i="4"/>
  <c r="N33" i="4" s="1"/>
  <c r="Q34" i="4"/>
  <c r="Q35" i="4"/>
  <c r="C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B28" i="35"/>
  <c r="Q28" i="35" s="1"/>
  <c r="B30" i="35"/>
  <c r="Q30" i="35" s="1"/>
  <c r="B29" i="35"/>
  <c r="Q29" i="35" s="1"/>
  <c r="J28" i="35"/>
  <c r="J30" i="35"/>
  <c r="J29" i="35"/>
  <c r="B3" i="35"/>
  <c r="B4" i="35"/>
  <c r="B5" i="35"/>
  <c r="B6" i="35"/>
  <c r="B7" i="35"/>
  <c r="B8" i="35"/>
  <c r="B9" i="35"/>
  <c r="B10" i="35"/>
  <c r="B11" i="35"/>
  <c r="B12" i="35"/>
  <c r="B13" i="35"/>
  <c r="B14" i="35"/>
  <c r="B15" i="35"/>
  <c r="B16" i="35"/>
  <c r="B17" i="35"/>
  <c r="B18" i="35"/>
  <c r="B19" i="35"/>
  <c r="B20" i="35"/>
  <c r="B21" i="35"/>
  <c r="B23" i="35"/>
  <c r="B22" i="35"/>
  <c r="B24" i="35"/>
  <c r="B25" i="35"/>
  <c r="B26" i="35"/>
  <c r="B27" i="35"/>
  <c r="B2" i="35"/>
  <c r="I30" i="4" l="1"/>
  <c r="J30" i="4"/>
  <c r="J28" i="4"/>
  <c r="I28" i="4"/>
  <c r="I29" i="4"/>
  <c r="J29" i="4"/>
  <c r="D31" i="4"/>
  <c r="P31" i="4" s="1"/>
  <c r="G30" i="35"/>
  <c r="H30" i="4" s="1"/>
  <c r="G29" i="35"/>
  <c r="H29" i="4" s="1"/>
  <c r="G28" i="35"/>
  <c r="H28" i="4" s="1"/>
  <c r="R16" i="41"/>
  <c r="R15" i="41"/>
  <c r="R14" i="41"/>
  <c r="R13" i="41"/>
  <c r="R12" i="41"/>
  <c r="R11" i="41"/>
  <c r="R10" i="41"/>
  <c r="R9" i="41"/>
  <c r="P19" i="40"/>
  <c r="P18" i="40"/>
  <c r="P17" i="40"/>
  <c r="P16" i="40"/>
  <c r="P15" i="40"/>
  <c r="P14" i="40"/>
  <c r="P13" i="40"/>
  <c r="P12" i="40"/>
  <c r="F14" i="41"/>
  <c r="F13" i="41"/>
  <c r="F12" i="41"/>
  <c r="F11" i="41"/>
  <c r="F10" i="41"/>
  <c r="F9" i="41"/>
  <c r="F14" i="40"/>
  <c r="F13" i="40"/>
  <c r="F12" i="40"/>
  <c r="F11" i="40"/>
  <c r="F10" i="40"/>
  <c r="F9" i="40"/>
  <c r="F15" i="40" s="1"/>
  <c r="C3" i="38"/>
  <c r="C4" i="38"/>
  <c r="C5" i="38"/>
  <c r="C6" i="38"/>
  <c r="C7" i="38"/>
  <c r="C8" i="38"/>
  <c r="C9" i="38"/>
  <c r="C10" i="38"/>
  <c r="C11" i="38"/>
  <c r="C12" i="38"/>
  <c r="C13" i="38"/>
  <c r="C14" i="38"/>
  <c r="C15" i="38"/>
  <c r="C16" i="38"/>
  <c r="C17" i="38"/>
  <c r="C18" i="38"/>
  <c r="C19" i="38"/>
  <c r="C20" i="38"/>
  <c r="C21" i="38"/>
  <c r="C22" i="38"/>
  <c r="C23" i="38"/>
  <c r="C24" i="38"/>
  <c r="C25" i="38"/>
  <c r="C26" i="38"/>
  <c r="C27" i="38"/>
  <c r="C2" i="38"/>
  <c r="N31" i="4" l="1"/>
  <c r="Q31" i="4"/>
  <c r="S31" i="4"/>
  <c r="R31" i="4"/>
  <c r="O31" i="4"/>
  <c r="K28" i="4"/>
  <c r="N28" i="4" s="1"/>
  <c r="K30" i="4"/>
  <c r="N30" i="4" s="1"/>
  <c r="K29" i="4"/>
  <c r="N29" i="4" s="1"/>
  <c r="Q30" i="4"/>
  <c r="F15" i="41"/>
  <c r="P20" i="40"/>
  <c r="R17" i="41"/>
  <c r="R18" i="41"/>
  <c r="R19" i="41" s="1"/>
  <c r="P21" i="40"/>
  <c r="P22" i="40" s="1"/>
  <c r="F16" i="41"/>
  <c r="F17" i="41" s="1"/>
  <c r="F16" i="40"/>
  <c r="F17" i="40" s="1"/>
  <c r="Q28" i="4" l="1"/>
  <c r="S30" i="4"/>
  <c r="M30" i="4"/>
  <c r="P30" i="4" s="1"/>
  <c r="R29" i="4"/>
  <c r="L29" i="4"/>
  <c r="O29" i="4" s="1"/>
  <c r="S29" i="4"/>
  <c r="M29" i="4"/>
  <c r="P29" i="4" s="1"/>
  <c r="R28" i="4"/>
  <c r="L28" i="4"/>
  <c r="O28" i="4" s="1"/>
  <c r="R30" i="4"/>
  <c r="L30" i="4"/>
  <c r="O30" i="4" s="1"/>
  <c r="S28" i="4"/>
  <c r="M28" i="4"/>
  <c r="P28" i="4" s="1"/>
  <c r="Q29" i="4"/>
  <c r="R20" i="41"/>
  <c r="P23" i="40"/>
  <c r="F18" i="41"/>
  <c r="F18" i="40"/>
  <c r="R23" i="41" l="1"/>
  <c r="R26" i="41"/>
  <c r="R25" i="41"/>
  <c r="R21" i="41"/>
  <c r="P29" i="40"/>
  <c r="P28" i="40"/>
  <c r="P26" i="40"/>
  <c r="P24" i="40"/>
  <c r="F21" i="41"/>
  <c r="F24" i="41"/>
  <c r="F23" i="41"/>
  <c r="F19" i="41"/>
  <c r="F20" i="41"/>
  <c r="F24" i="40"/>
  <c r="F23" i="40"/>
  <c r="F21" i="40"/>
  <c r="F19" i="40"/>
  <c r="R22" i="41" l="1"/>
  <c r="R24" i="41" s="1"/>
  <c r="P25" i="40"/>
  <c r="P27" i="40" s="1"/>
  <c r="F22" i="41"/>
  <c r="F20" i="40"/>
  <c r="F22" i="40" s="1"/>
  <c r="R28" i="41" l="1"/>
  <c r="R27" i="41"/>
  <c r="P31" i="40"/>
  <c r="P30" i="40"/>
  <c r="F26" i="41"/>
  <c r="F25" i="41"/>
  <c r="F26" i="40"/>
  <c r="F25" i="40"/>
  <c r="R29" i="41" l="1"/>
  <c r="R32" i="41" s="1"/>
  <c r="R30" i="41"/>
  <c r="R33" i="41" s="1"/>
  <c r="P32" i="40"/>
  <c r="P35" i="40"/>
  <c r="P33" i="40"/>
  <c r="P36" i="40" s="1"/>
  <c r="F27" i="41"/>
  <c r="F30" i="41"/>
  <c r="F28" i="41"/>
  <c r="F31" i="41" s="1"/>
  <c r="F27" i="40"/>
  <c r="F30" i="40" s="1"/>
  <c r="F28" i="40"/>
  <c r="F31" i="40" s="1"/>
  <c r="R35" i="41" l="1"/>
  <c r="R37" i="41" s="1"/>
  <c r="R34" i="41"/>
  <c r="R36" i="41" s="1"/>
  <c r="P38" i="40"/>
  <c r="P40" i="40" s="1"/>
  <c r="P37" i="40"/>
  <c r="P39" i="40" s="1"/>
  <c r="F33" i="41"/>
  <c r="F35" i="41" s="1"/>
  <c r="F32" i="41"/>
  <c r="F34" i="41" s="1"/>
  <c r="F33" i="40"/>
  <c r="F35" i="40" s="1"/>
  <c r="F32" i="40"/>
  <c r="F34" i="40" s="1"/>
  <c r="U36" i="41" l="1"/>
  <c r="S42" i="40"/>
  <c r="S43" i="40"/>
  <c r="Q27" i="35"/>
  <c r="Q17" i="35"/>
  <c r="Q18" i="35"/>
  <c r="Q19" i="35"/>
  <c r="Q20" i="35"/>
  <c r="Q15" i="35"/>
  <c r="Q16" i="35"/>
  <c r="Q14" i="35"/>
  <c r="Q13" i="35"/>
  <c r="Q11" i="35"/>
  <c r="Q12" i="35"/>
  <c r="Q25" i="35"/>
  <c r="Q24" i="35"/>
  <c r="Q23" i="35"/>
  <c r="Q4" i="35"/>
  <c r="Q10" i="35"/>
  <c r="Q9" i="35"/>
  <c r="Q8" i="35"/>
  <c r="Q7" i="35"/>
  <c r="Q3" i="35"/>
  <c r="Q6" i="35"/>
  <c r="Q5" i="35"/>
  <c r="Q22" i="35"/>
  <c r="Q21" i="35"/>
  <c r="Q26" i="35"/>
  <c r="F10" i="15"/>
  <c r="G26" i="35"/>
  <c r="G27" i="35"/>
  <c r="G17" i="35"/>
  <c r="G18" i="35"/>
  <c r="G19" i="35"/>
  <c r="G20" i="35"/>
  <c r="G15" i="35"/>
  <c r="H15" i="4" s="1"/>
  <c r="G16" i="35"/>
  <c r="H16" i="4" s="1"/>
  <c r="G14" i="35"/>
  <c r="H14" i="4" s="1"/>
  <c r="G13" i="35"/>
  <c r="G11" i="35"/>
  <c r="G12" i="35"/>
  <c r="G25" i="35"/>
  <c r="G24" i="35"/>
  <c r="G23" i="35"/>
  <c r="H23" i="4" s="1"/>
  <c r="G4" i="35"/>
  <c r="H4" i="4" s="1"/>
  <c r="G10" i="35"/>
  <c r="H10" i="4" s="1"/>
  <c r="G9" i="35"/>
  <c r="G8" i="35"/>
  <c r="G7" i="35"/>
  <c r="G3" i="35"/>
  <c r="G6" i="35"/>
  <c r="G5" i="35"/>
  <c r="H5" i="4" s="1"/>
  <c r="G22" i="35"/>
  <c r="H22" i="4" s="1"/>
  <c r="G21" i="35"/>
  <c r="H21" i="4" s="1"/>
  <c r="J27" i="35"/>
  <c r="J17" i="35"/>
  <c r="J18" i="35"/>
  <c r="J19" i="35"/>
  <c r="J20" i="35"/>
  <c r="J15" i="35"/>
  <c r="J16" i="35"/>
  <c r="J14" i="35"/>
  <c r="J13" i="35"/>
  <c r="J11" i="35"/>
  <c r="J12" i="35"/>
  <c r="J2" i="35"/>
  <c r="J25" i="35"/>
  <c r="J24" i="35"/>
  <c r="J23" i="35"/>
  <c r="J4" i="35"/>
  <c r="J10" i="35"/>
  <c r="J9" i="35"/>
  <c r="J8" i="35"/>
  <c r="J7" i="35"/>
  <c r="J3" i="35"/>
  <c r="J6" i="35"/>
  <c r="J5" i="35"/>
  <c r="J22" i="35"/>
  <c r="J21" i="35"/>
  <c r="J26" i="35"/>
  <c r="F10" i="34"/>
  <c r="F11" i="34"/>
  <c r="F12" i="34"/>
  <c r="F13" i="34"/>
  <c r="F14" i="34"/>
  <c r="F15" i="34"/>
  <c r="F16" i="34"/>
  <c r="F17" i="34"/>
  <c r="F18" i="34"/>
  <c r="F19" i="34"/>
  <c r="F20" i="34"/>
  <c r="F21" i="34"/>
  <c r="F22" i="34"/>
  <c r="F23" i="34"/>
  <c r="F24" i="34"/>
  <c r="F10" i="33"/>
  <c r="F11" i="33"/>
  <c r="F12" i="33"/>
  <c r="F13" i="33"/>
  <c r="F14" i="33"/>
  <c r="F15" i="33"/>
  <c r="F16" i="33"/>
  <c r="F17" i="33"/>
  <c r="F18" i="33"/>
  <c r="F19" i="33"/>
  <c r="F20" i="33"/>
  <c r="F21" i="33"/>
  <c r="F22" i="33"/>
  <c r="F10" i="32"/>
  <c r="F11" i="32"/>
  <c r="F12" i="32"/>
  <c r="F13" i="32"/>
  <c r="F14" i="32"/>
  <c r="F15" i="32"/>
  <c r="F16" i="32"/>
  <c r="F17" i="32"/>
  <c r="F18" i="32"/>
  <c r="F19" i="32"/>
  <c r="F20" i="32"/>
  <c r="F21" i="32"/>
  <c r="F22" i="32"/>
  <c r="F10" i="31"/>
  <c r="F11" i="31"/>
  <c r="F12" i="31"/>
  <c r="F13" i="31"/>
  <c r="F14" i="31"/>
  <c r="F15" i="31"/>
  <c r="F16" i="31"/>
  <c r="F17" i="31"/>
  <c r="F18" i="31"/>
  <c r="F19" i="31"/>
  <c r="F10" i="30"/>
  <c r="F11" i="30"/>
  <c r="F12" i="30"/>
  <c r="F13" i="30"/>
  <c r="F14" i="30"/>
  <c r="F15" i="30"/>
  <c r="F16" i="30"/>
  <c r="F17" i="30"/>
  <c r="F10" i="29"/>
  <c r="F11" i="29"/>
  <c r="F12" i="29"/>
  <c r="F13" i="29"/>
  <c r="F14" i="29"/>
  <c r="F15" i="29"/>
  <c r="F16" i="29"/>
  <c r="F17" i="29"/>
  <c r="F10" i="28"/>
  <c r="F11" i="28"/>
  <c r="F12" i="28"/>
  <c r="F13" i="28"/>
  <c r="F14" i="28"/>
  <c r="F15" i="28"/>
  <c r="F16" i="28"/>
  <c r="F17" i="28"/>
  <c r="F10" i="27"/>
  <c r="F11" i="27"/>
  <c r="F12" i="27"/>
  <c r="F13" i="27"/>
  <c r="F14" i="27"/>
  <c r="F15" i="27"/>
  <c r="F16" i="27"/>
  <c r="F17" i="27"/>
  <c r="F10" i="26"/>
  <c r="F11" i="26"/>
  <c r="F12" i="26"/>
  <c r="F13" i="26"/>
  <c r="F14" i="26"/>
  <c r="F15" i="26"/>
  <c r="F16" i="26"/>
  <c r="F17" i="26"/>
  <c r="F18" i="26"/>
  <c r="F19" i="26"/>
  <c r="F20" i="26"/>
  <c r="F21" i="26"/>
  <c r="F10" i="25"/>
  <c r="F11" i="25"/>
  <c r="F12" i="25"/>
  <c r="F13" i="25"/>
  <c r="F14" i="25"/>
  <c r="F15" i="25"/>
  <c r="F16" i="25"/>
  <c r="F17" i="25"/>
  <c r="F18" i="25"/>
  <c r="F19" i="25"/>
  <c r="F20" i="25"/>
  <c r="F21" i="25"/>
  <c r="F22" i="25"/>
  <c r="F23" i="25"/>
  <c r="F24" i="25"/>
  <c r="F25" i="25"/>
  <c r="F26" i="25"/>
  <c r="F10" i="24"/>
  <c r="F11" i="24"/>
  <c r="F12" i="24"/>
  <c r="F13" i="24"/>
  <c r="F14" i="24"/>
  <c r="F15" i="24"/>
  <c r="F16" i="24"/>
  <c r="F17" i="24"/>
  <c r="F18" i="24"/>
  <c r="F19" i="24"/>
  <c r="F20" i="24"/>
  <c r="F21" i="24"/>
  <c r="F22" i="24"/>
  <c r="F23" i="24"/>
  <c r="F24" i="24"/>
  <c r="F25" i="24"/>
  <c r="F26" i="24"/>
  <c r="F27" i="24"/>
  <c r="F10" i="23"/>
  <c r="F11" i="23"/>
  <c r="F12" i="23"/>
  <c r="F13" i="23"/>
  <c r="F14" i="23"/>
  <c r="F15" i="23"/>
  <c r="F16" i="23"/>
  <c r="F17" i="23"/>
  <c r="F18" i="23"/>
  <c r="F19" i="23"/>
  <c r="F20" i="23"/>
  <c r="F21" i="23"/>
  <c r="F22" i="23"/>
  <c r="F23" i="23"/>
  <c r="F24" i="23"/>
  <c r="F25" i="23"/>
  <c r="F26" i="23"/>
  <c r="F27" i="23"/>
  <c r="F28" i="23"/>
  <c r="F29" i="23"/>
  <c r="F30" i="23"/>
  <c r="F31" i="23"/>
  <c r="F10" i="22"/>
  <c r="F11" i="22"/>
  <c r="F12" i="22"/>
  <c r="F13" i="22"/>
  <c r="F14" i="22"/>
  <c r="F15" i="22"/>
  <c r="F16" i="22"/>
  <c r="F17" i="22"/>
  <c r="F18" i="22"/>
  <c r="F19" i="22"/>
  <c r="F20" i="22"/>
  <c r="F21" i="22"/>
  <c r="F22" i="22"/>
  <c r="F23" i="22"/>
  <c r="F10" i="21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26" i="21"/>
  <c r="F10" i="20"/>
  <c r="F11" i="20"/>
  <c r="F12" i="20"/>
  <c r="F13" i="20"/>
  <c r="F14" i="20"/>
  <c r="F15" i="20"/>
  <c r="F16" i="20"/>
  <c r="F17" i="20"/>
  <c r="F18" i="20"/>
  <c r="F19" i="20"/>
  <c r="F20" i="20"/>
  <c r="F21" i="20"/>
  <c r="F22" i="20"/>
  <c r="F23" i="20"/>
  <c r="F24" i="20"/>
  <c r="F25" i="20"/>
  <c r="F26" i="20"/>
  <c r="F27" i="20"/>
  <c r="F28" i="20"/>
  <c r="F10" i="19"/>
  <c r="F11" i="19"/>
  <c r="F12" i="19"/>
  <c r="F13" i="19"/>
  <c r="F14" i="19"/>
  <c r="F15" i="19"/>
  <c r="F16" i="19"/>
  <c r="F17" i="19"/>
  <c r="F18" i="19"/>
  <c r="F19" i="19"/>
  <c r="F20" i="19"/>
  <c r="F21" i="19"/>
  <c r="F22" i="19"/>
  <c r="F23" i="19"/>
  <c r="F10" i="18"/>
  <c r="F11" i="18"/>
  <c r="F12" i="18"/>
  <c r="F13" i="18"/>
  <c r="F14" i="18"/>
  <c r="F15" i="18"/>
  <c r="F16" i="18"/>
  <c r="F17" i="18"/>
  <c r="F18" i="18"/>
  <c r="F19" i="18"/>
  <c r="F20" i="18"/>
  <c r="F21" i="18"/>
  <c r="F22" i="18"/>
  <c r="F23" i="18"/>
  <c r="F24" i="18"/>
  <c r="F25" i="18"/>
  <c r="F26" i="18"/>
  <c r="F27" i="18"/>
  <c r="F28" i="18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C5" i="10"/>
  <c r="F5" i="10"/>
  <c r="I5" i="10"/>
  <c r="L5" i="10"/>
  <c r="C6" i="10"/>
  <c r="F6" i="10"/>
  <c r="I6" i="10"/>
  <c r="L6" i="10"/>
  <c r="C7" i="10"/>
  <c r="F7" i="10"/>
  <c r="C8" i="10"/>
  <c r="F8" i="10"/>
  <c r="C9" i="10"/>
  <c r="F9" i="10"/>
  <c r="I9" i="10"/>
  <c r="L9" i="10"/>
  <c r="C10" i="10"/>
  <c r="F10" i="10"/>
  <c r="I10" i="10"/>
  <c r="C11" i="10"/>
  <c r="F11" i="10"/>
  <c r="I11" i="10"/>
  <c r="L11" i="10"/>
  <c r="C12" i="10"/>
  <c r="F12" i="10"/>
  <c r="I12" i="10"/>
  <c r="L12" i="10"/>
  <c r="C13" i="10"/>
  <c r="F13" i="10"/>
  <c r="L13" i="10"/>
  <c r="C14" i="10"/>
  <c r="F14" i="10"/>
  <c r="L14" i="10"/>
  <c r="C5" i="9"/>
  <c r="F5" i="9"/>
  <c r="I5" i="9"/>
  <c r="L5" i="9"/>
  <c r="C5" i="8"/>
  <c r="F5" i="8"/>
  <c r="I5" i="8"/>
  <c r="L5" i="8"/>
  <c r="C6" i="8"/>
  <c r="F6" i="8"/>
  <c r="I6" i="8"/>
  <c r="L6" i="8"/>
  <c r="C3" i="7"/>
  <c r="F3" i="7"/>
  <c r="I3" i="7"/>
  <c r="L3" i="7"/>
  <c r="C4" i="7"/>
  <c r="F4" i="7"/>
  <c r="I4" i="7"/>
  <c r="L4" i="7"/>
  <c r="C5" i="7"/>
  <c r="F5" i="7"/>
  <c r="I5" i="7"/>
  <c r="L5" i="7"/>
  <c r="C6" i="7"/>
  <c r="F6" i="7"/>
  <c r="I6" i="7"/>
  <c r="L6" i="7"/>
  <c r="C5" i="6"/>
  <c r="F5" i="6"/>
  <c r="I5" i="6"/>
  <c r="L5" i="6"/>
  <c r="C6" i="6"/>
  <c r="F6" i="6"/>
  <c r="I6" i="6"/>
  <c r="C7" i="6"/>
  <c r="I7" i="6"/>
  <c r="C8" i="6"/>
  <c r="F8" i="6"/>
  <c r="L8" i="6"/>
  <c r="D5" i="5"/>
  <c r="H5" i="5"/>
  <c r="L5" i="5"/>
  <c r="P5" i="5"/>
  <c r="T5" i="5"/>
  <c r="X5" i="5"/>
  <c r="D6" i="5"/>
  <c r="H6" i="5"/>
  <c r="L6" i="5"/>
  <c r="P6" i="5"/>
  <c r="T6" i="5"/>
  <c r="X6" i="5"/>
  <c r="D7" i="5"/>
  <c r="H7" i="5"/>
  <c r="L7" i="5"/>
  <c r="P7" i="5"/>
  <c r="T7" i="5"/>
  <c r="X7" i="5"/>
  <c r="H26" i="4" l="1"/>
  <c r="H8" i="4"/>
  <c r="H9" i="4"/>
  <c r="H13" i="4"/>
  <c r="H27" i="4"/>
  <c r="H24" i="4"/>
  <c r="K24" i="4" s="1"/>
  <c r="N24" i="4" s="1"/>
  <c r="H3" i="4"/>
  <c r="K3" i="4" s="1"/>
  <c r="N3" i="4" s="1"/>
  <c r="H11" i="4"/>
  <c r="K11" i="4" s="1"/>
  <c r="N11" i="4" s="1"/>
  <c r="H17" i="4"/>
  <c r="I6" i="4"/>
  <c r="J6" i="4"/>
  <c r="I24" i="4"/>
  <c r="J24" i="4"/>
  <c r="J20" i="4"/>
  <c r="I20" i="4"/>
  <c r="J19" i="4"/>
  <c r="I19" i="4"/>
  <c r="I18" i="4"/>
  <c r="J18" i="4"/>
  <c r="J8" i="4"/>
  <c r="I8" i="4"/>
  <c r="J11" i="4"/>
  <c r="I11" i="4"/>
  <c r="I17" i="4"/>
  <c r="J17" i="4"/>
  <c r="I7" i="4"/>
  <c r="J7" i="4"/>
  <c r="I26" i="4"/>
  <c r="J26" i="4"/>
  <c r="I9" i="4"/>
  <c r="J9" i="4"/>
  <c r="J13" i="4"/>
  <c r="I13" i="4"/>
  <c r="J27" i="4"/>
  <c r="I27" i="4"/>
  <c r="H20" i="4"/>
  <c r="I21" i="4"/>
  <c r="J21" i="4"/>
  <c r="J10" i="4"/>
  <c r="I10" i="4"/>
  <c r="J14" i="4"/>
  <c r="I14" i="4"/>
  <c r="H25" i="4"/>
  <c r="H19" i="4"/>
  <c r="J22" i="4"/>
  <c r="I22" i="4"/>
  <c r="J4" i="4"/>
  <c r="I4" i="4"/>
  <c r="J16" i="4"/>
  <c r="I16" i="4"/>
  <c r="J3" i="4"/>
  <c r="I3" i="4"/>
  <c r="I25" i="4"/>
  <c r="J25" i="4"/>
  <c r="I12" i="4"/>
  <c r="J12" i="4"/>
  <c r="H6" i="4"/>
  <c r="H7" i="4"/>
  <c r="K7" i="4" s="1"/>
  <c r="N7" i="4" s="1"/>
  <c r="H12" i="4"/>
  <c r="H18" i="4"/>
  <c r="J5" i="4"/>
  <c r="I5" i="4"/>
  <c r="J23" i="4"/>
  <c r="I23" i="4"/>
  <c r="J15" i="4"/>
  <c r="I15" i="4"/>
  <c r="K25" i="4"/>
  <c r="N25" i="4" s="1"/>
  <c r="K9" i="4"/>
  <c r="N9" i="4" s="1"/>
  <c r="Q13" i="4"/>
  <c r="Q14" i="4"/>
  <c r="K21" i="4"/>
  <c r="N21" i="4" s="1"/>
  <c r="K26" i="4"/>
  <c r="N26" i="4" s="1"/>
  <c r="F29" i="18"/>
  <c r="F30" i="18" s="1"/>
  <c r="F23" i="13"/>
  <c r="F24" i="13" s="1"/>
  <c r="F23" i="32"/>
  <c r="F24" i="19"/>
  <c r="F32" i="23"/>
  <c r="F25" i="34"/>
  <c r="F26" i="34" s="1"/>
  <c r="F32" i="14"/>
  <c r="F33" i="14" s="1"/>
  <c r="Q15" i="4"/>
  <c r="K16" i="4"/>
  <c r="N16" i="4" s="1"/>
  <c r="K8" i="4"/>
  <c r="N8" i="4" s="1"/>
  <c r="F23" i="33"/>
  <c r="F20" i="31"/>
  <c r="F21" i="31" s="1"/>
  <c r="F22" i="31" s="1"/>
  <c r="F18" i="29"/>
  <c r="F22" i="26"/>
  <c r="F27" i="25"/>
  <c r="F28" i="24"/>
  <c r="F29" i="24" s="1"/>
  <c r="F24" i="22"/>
  <c r="F25" i="22" s="1"/>
  <c r="F27" i="21"/>
  <c r="F28" i="21" s="1"/>
  <c r="F29" i="20"/>
  <c r="F24" i="17"/>
  <c r="F25" i="17" s="1"/>
  <c r="F32" i="16"/>
  <c r="F23" i="12"/>
  <c r="F24" i="12" s="1"/>
  <c r="F25" i="12" s="1"/>
  <c r="F23" i="11"/>
  <c r="F28" i="25"/>
  <c r="F29" i="25" s="1"/>
  <c r="F30" i="25" s="1"/>
  <c r="F31" i="25" s="1"/>
  <c r="F33" i="23"/>
  <c r="F34" i="23" s="1"/>
  <c r="F35" i="23" s="1"/>
  <c r="F36" i="23" s="1"/>
  <c r="F27" i="15"/>
  <c r="F28" i="15" s="1"/>
  <c r="F18" i="27"/>
  <c r="F19" i="27" s="1"/>
  <c r="F20" i="27" s="1"/>
  <c r="F18" i="28"/>
  <c r="F18" i="30"/>
  <c r="F19" i="30" s="1"/>
  <c r="F24" i="32"/>
  <c r="F25" i="32"/>
  <c r="F20" i="30"/>
  <c r="F23" i="26"/>
  <c r="F24" i="26" s="1"/>
  <c r="F30" i="24"/>
  <c r="F31" i="18"/>
  <c r="F29" i="21"/>
  <c r="F26" i="22"/>
  <c r="F24" i="11"/>
  <c r="F25" i="13"/>
  <c r="F34" i="14"/>
  <c r="S3" i="4" l="1"/>
  <c r="M3" i="4"/>
  <c r="P3" i="4" s="1"/>
  <c r="R23" i="4"/>
  <c r="L23" i="4"/>
  <c r="O23" i="4" s="1"/>
  <c r="M6" i="4"/>
  <c r="P6" i="4" s="1"/>
  <c r="S6" i="4"/>
  <c r="R20" i="4"/>
  <c r="L20" i="4"/>
  <c r="O20" i="4" s="1"/>
  <c r="S13" i="4"/>
  <c r="M13" i="4"/>
  <c r="P13" i="4" s="1"/>
  <c r="L22" i="4"/>
  <c r="O22" i="4" s="1"/>
  <c r="R22" i="4"/>
  <c r="R9" i="4"/>
  <c r="L9" i="4"/>
  <c r="O9" i="4" s="1"/>
  <c r="R10" i="4"/>
  <c r="L10" i="4"/>
  <c r="O10" i="4" s="1"/>
  <c r="R12" i="4"/>
  <c r="L12" i="4"/>
  <c r="O12" i="4" s="1"/>
  <c r="R19" i="4"/>
  <c r="L19" i="4"/>
  <c r="O19" i="4" s="1"/>
  <c r="S27" i="4"/>
  <c r="M27" i="4"/>
  <c r="P27" i="4" s="1"/>
  <c r="S12" i="4"/>
  <c r="M12" i="4"/>
  <c r="P12" i="4" s="1"/>
  <c r="R21" i="4"/>
  <c r="L21" i="4"/>
  <c r="O21" i="4" s="1"/>
  <c r="R6" i="4"/>
  <c r="L6" i="4"/>
  <c r="O6" i="4" s="1"/>
  <c r="S9" i="4"/>
  <c r="M9" i="4"/>
  <c r="P9" i="4" s="1"/>
  <c r="L7" i="4"/>
  <c r="O7" i="4" s="1"/>
  <c r="R7" i="4"/>
  <c r="S21" i="4"/>
  <c r="M21" i="4"/>
  <c r="P21" i="4" s="1"/>
  <c r="R16" i="4"/>
  <c r="L16" i="4"/>
  <c r="O16" i="4" s="1"/>
  <c r="M16" i="4"/>
  <c r="P16" i="4" s="1"/>
  <c r="S16" i="4"/>
  <c r="S4" i="4"/>
  <c r="M4" i="4"/>
  <c r="P4" i="4" s="1"/>
  <c r="R25" i="4"/>
  <c r="L25" i="4"/>
  <c r="O25" i="4" s="1"/>
  <c r="R24" i="4"/>
  <c r="L24" i="4"/>
  <c r="O24" i="4" s="1"/>
  <c r="S5" i="4"/>
  <c r="M5" i="4"/>
  <c r="P5" i="4" s="1"/>
  <c r="R11" i="4"/>
  <c r="L11" i="4"/>
  <c r="O11" i="4" s="1"/>
  <c r="R14" i="4"/>
  <c r="L14" i="4"/>
  <c r="O14" i="4" s="1"/>
  <c r="S24" i="4"/>
  <c r="M24" i="4"/>
  <c r="P24" i="4" s="1"/>
  <c r="S10" i="4"/>
  <c r="M10" i="4"/>
  <c r="P10" i="4" s="1"/>
  <c r="S8" i="4"/>
  <c r="M8" i="4"/>
  <c r="P8" i="4" s="1"/>
  <c r="S15" i="4"/>
  <c r="M15" i="4"/>
  <c r="P15" i="4" s="1"/>
  <c r="R26" i="4"/>
  <c r="L26" i="4"/>
  <c r="O26" i="4" s="1"/>
  <c r="S22" i="4"/>
  <c r="M22" i="4"/>
  <c r="P22" i="4" s="1"/>
  <c r="S23" i="4"/>
  <c r="M23" i="4"/>
  <c r="P23" i="4" s="1"/>
  <c r="S19" i="4"/>
  <c r="M19" i="4"/>
  <c r="P19" i="4" s="1"/>
  <c r="S17" i="4"/>
  <c r="M17" i="4"/>
  <c r="P17" i="4" s="1"/>
  <c r="S25" i="4"/>
  <c r="M25" i="4"/>
  <c r="P25" i="4" s="1"/>
  <c r="S20" i="4"/>
  <c r="M20" i="4"/>
  <c r="P20" i="4" s="1"/>
  <c r="R17" i="4"/>
  <c r="L17" i="4"/>
  <c r="O17" i="4" s="1"/>
  <c r="R4" i="4"/>
  <c r="L4" i="4"/>
  <c r="O4" i="4" s="1"/>
  <c r="R5" i="4"/>
  <c r="L5" i="4"/>
  <c r="O5" i="4" s="1"/>
  <c r="S18" i="4"/>
  <c r="M18" i="4"/>
  <c r="P18" i="4" s="1"/>
  <c r="M7" i="4"/>
  <c r="P7" i="4" s="1"/>
  <c r="S7" i="4"/>
  <c r="M14" i="4"/>
  <c r="P14" i="4" s="1"/>
  <c r="S14" i="4"/>
  <c r="R8" i="4"/>
  <c r="L8" i="4"/>
  <c r="O8" i="4" s="1"/>
  <c r="R15" i="4"/>
  <c r="L15" i="4"/>
  <c r="O15" i="4" s="1"/>
  <c r="R18" i="4"/>
  <c r="L18" i="4"/>
  <c r="O18" i="4" s="1"/>
  <c r="S26" i="4"/>
  <c r="M26" i="4"/>
  <c r="P26" i="4" s="1"/>
  <c r="S11" i="4"/>
  <c r="M11" i="4"/>
  <c r="P11" i="4" s="1"/>
  <c r="R3" i="4"/>
  <c r="L3" i="4"/>
  <c r="O3" i="4" s="1"/>
  <c r="R13" i="4"/>
  <c r="L13" i="4"/>
  <c r="O13" i="4" s="1"/>
  <c r="R27" i="4"/>
  <c r="L27" i="4"/>
  <c r="O27" i="4" s="1"/>
  <c r="K22" i="4"/>
  <c r="N22" i="4" s="1"/>
  <c r="Q22" i="4"/>
  <c r="K4" i="4"/>
  <c r="N4" i="4" s="1"/>
  <c r="Q4" i="4"/>
  <c r="K5" i="4"/>
  <c r="N5" i="4" s="1"/>
  <c r="Q5" i="4"/>
  <c r="K23" i="4"/>
  <c r="N23" i="4" s="1"/>
  <c r="Q23" i="4"/>
  <c r="K10" i="4"/>
  <c r="N10" i="4" s="1"/>
  <c r="Q10" i="4"/>
  <c r="Q16" i="4"/>
  <c r="Q21" i="4"/>
  <c r="K15" i="4"/>
  <c r="N15" i="4" s="1"/>
  <c r="Q11" i="4"/>
  <c r="Q9" i="4"/>
  <c r="K13" i="4"/>
  <c r="N13" i="4" s="1"/>
  <c r="K14" i="4"/>
  <c r="N14" i="4" s="1"/>
  <c r="K12" i="4"/>
  <c r="N12" i="4" s="1"/>
  <c r="Q12" i="4"/>
  <c r="K20" i="4"/>
  <c r="N20" i="4" s="1"/>
  <c r="Q20" i="4"/>
  <c r="K18" i="4"/>
  <c r="N18" i="4" s="1"/>
  <c r="Q18" i="4"/>
  <c r="K6" i="4"/>
  <c r="N6" i="4" s="1"/>
  <c r="Q6" i="4"/>
  <c r="K17" i="4"/>
  <c r="N17" i="4" s="1"/>
  <c r="Q17" i="4"/>
  <c r="Q27" i="4"/>
  <c r="K27" i="4"/>
  <c r="N27" i="4" s="1"/>
  <c r="K19" i="4"/>
  <c r="N19" i="4" s="1"/>
  <c r="Q19" i="4"/>
  <c r="Q26" i="4"/>
  <c r="Q25" i="4"/>
  <c r="Q24" i="4"/>
  <c r="Q8" i="4"/>
  <c r="Q7" i="4"/>
  <c r="Q3" i="4"/>
  <c r="F26" i="19"/>
  <c r="F20" i="29"/>
  <c r="F21" i="29" s="1"/>
  <c r="F25" i="33"/>
  <c r="F33" i="16"/>
  <c r="F34" i="16" s="1"/>
  <c r="F35" i="16" s="1"/>
  <c r="F29" i="15"/>
  <c r="F24" i="33"/>
  <c r="F26" i="17"/>
  <c r="F19" i="29"/>
  <c r="F30" i="20"/>
  <c r="F31" i="20" s="1"/>
  <c r="F32" i="20" s="1"/>
  <c r="F27" i="34"/>
  <c r="F25" i="19"/>
  <c r="F36" i="25"/>
  <c r="F37" i="25"/>
  <c r="F32" i="25"/>
  <c r="F34" i="25"/>
  <c r="F25" i="11"/>
  <c r="F26" i="11" s="1"/>
  <c r="F32" i="11" s="1"/>
  <c r="F37" i="23"/>
  <c r="F19" i="28"/>
  <c r="F20" i="28" s="1"/>
  <c r="F21" i="28" s="1"/>
  <c r="F42" i="23"/>
  <c r="F39" i="23"/>
  <c r="F41" i="23"/>
  <c r="F26" i="33"/>
  <c r="F27" i="33"/>
  <c r="F28" i="34"/>
  <c r="F29" i="34"/>
  <c r="F21" i="30"/>
  <c r="F26" i="32"/>
  <c r="F27" i="32"/>
  <c r="F23" i="31"/>
  <c r="F31" i="24"/>
  <c r="F25" i="26"/>
  <c r="F21" i="27"/>
  <c r="F27" i="22"/>
  <c r="F27" i="17"/>
  <c r="F27" i="19"/>
  <c r="F30" i="21"/>
  <c r="F32" i="18"/>
  <c r="F30" i="15"/>
  <c r="F26" i="13"/>
  <c r="F35" i="14"/>
  <c r="F26" i="12"/>
  <c r="F33" i="20" l="1"/>
  <c r="F36" i="20"/>
  <c r="F38" i="20"/>
  <c r="F39" i="20"/>
  <c r="F33" i="11"/>
  <c r="F30" i="11"/>
  <c r="F27" i="11"/>
  <c r="F40" i="23"/>
  <c r="F44" i="23" s="1"/>
  <c r="F35" i="25"/>
  <c r="F38" i="25"/>
  <c r="F39" i="25"/>
  <c r="F35" i="34"/>
  <c r="F30" i="34"/>
  <c r="F32" i="34"/>
  <c r="F34" i="34"/>
  <c r="F32" i="32"/>
  <c r="F33" i="32"/>
  <c r="F28" i="32"/>
  <c r="F30" i="32"/>
  <c r="F28" i="30"/>
  <c r="F25" i="30"/>
  <c r="F27" i="30"/>
  <c r="F22" i="30"/>
  <c r="F30" i="31"/>
  <c r="F27" i="31"/>
  <c r="F24" i="31"/>
  <c r="F25" i="31" s="1"/>
  <c r="F29" i="31"/>
  <c r="F32" i="33"/>
  <c r="F33" i="33"/>
  <c r="F30" i="33"/>
  <c r="F28" i="33"/>
  <c r="F27" i="29"/>
  <c r="F28" i="29"/>
  <c r="F22" i="29"/>
  <c r="F23" i="29" s="1"/>
  <c r="F25" i="29"/>
  <c r="F31" i="26"/>
  <c r="F32" i="26"/>
  <c r="F26" i="26"/>
  <c r="F27" i="26" s="1"/>
  <c r="F29" i="26"/>
  <c r="F22" i="28"/>
  <c r="F25" i="28"/>
  <c r="F27" i="28"/>
  <c r="F28" i="28"/>
  <c r="F27" i="27"/>
  <c r="F28" i="27"/>
  <c r="F22" i="27"/>
  <c r="F23" i="27" s="1"/>
  <c r="F25" i="27"/>
  <c r="F37" i="24"/>
  <c r="F35" i="24"/>
  <c r="F38" i="24"/>
  <c r="F32" i="24"/>
  <c r="F33" i="24" s="1"/>
  <c r="F40" i="25"/>
  <c r="F43" i="25" s="1"/>
  <c r="F41" i="25"/>
  <c r="F44" i="25" s="1"/>
  <c r="F41" i="16"/>
  <c r="F42" i="16"/>
  <c r="F39" i="16"/>
  <c r="F36" i="16"/>
  <c r="F31" i="19"/>
  <c r="F28" i="19"/>
  <c r="F29" i="19" s="1"/>
  <c r="F33" i="19"/>
  <c r="F34" i="19"/>
  <c r="F33" i="22"/>
  <c r="F34" i="22"/>
  <c r="F28" i="22"/>
  <c r="F29" i="22" s="1"/>
  <c r="F31" i="22"/>
  <c r="F34" i="17"/>
  <c r="F31" i="17"/>
  <c r="F28" i="17"/>
  <c r="F29" i="17"/>
  <c r="F33" i="17"/>
  <c r="F33" i="18"/>
  <c r="F34" i="18" s="1"/>
  <c r="F36" i="18"/>
  <c r="F39" i="18"/>
  <c r="F38" i="18"/>
  <c r="F31" i="21"/>
  <c r="F32" i="21" s="1"/>
  <c r="F34" i="21"/>
  <c r="F37" i="21"/>
  <c r="F36" i="21"/>
  <c r="F34" i="20"/>
  <c r="F37" i="20" s="1"/>
  <c r="F27" i="13"/>
  <c r="F28" i="13" s="1"/>
  <c r="F32" i="13"/>
  <c r="F30" i="13"/>
  <c r="F33" i="13"/>
  <c r="F27" i="12"/>
  <c r="F32" i="12"/>
  <c r="F30" i="12"/>
  <c r="F33" i="12"/>
  <c r="F36" i="15"/>
  <c r="F37" i="15"/>
  <c r="F31" i="15"/>
  <c r="F32" i="15" s="1"/>
  <c r="F34" i="15"/>
  <c r="F39" i="14"/>
  <c r="F41" i="14"/>
  <c r="F42" i="14"/>
  <c r="F36" i="14"/>
  <c r="F28" i="11"/>
  <c r="F31" i="11" s="1"/>
  <c r="F43" i="23" l="1"/>
  <c r="F31" i="32"/>
  <c r="F36" i="24"/>
  <c r="F39" i="24" s="1"/>
  <c r="F31" i="13"/>
  <c r="F34" i="13" s="1"/>
  <c r="F33" i="34"/>
  <c r="F36" i="34" s="1"/>
  <c r="F23" i="28"/>
  <c r="F26" i="28" s="1"/>
  <c r="F35" i="15"/>
  <c r="F38" i="15" s="1"/>
  <c r="F28" i="31"/>
  <c r="F23" i="30"/>
  <c r="F26" i="30" s="1"/>
  <c r="F34" i="32"/>
  <c r="F35" i="32"/>
  <c r="F31" i="33"/>
  <c r="F46" i="25"/>
  <c r="F48" i="25" s="1"/>
  <c r="F45" i="25"/>
  <c r="F47" i="25" s="1"/>
  <c r="F40" i="24"/>
  <c r="F26" i="27"/>
  <c r="F26" i="29"/>
  <c r="F30" i="26"/>
  <c r="F40" i="20"/>
  <c r="F41" i="20"/>
  <c r="F35" i="21"/>
  <c r="F32" i="22"/>
  <c r="F32" i="17"/>
  <c r="F37" i="16"/>
  <c r="F40" i="16" s="1"/>
  <c r="F37" i="18"/>
  <c r="F32" i="19"/>
  <c r="F39" i="15"/>
  <c r="F34" i="11"/>
  <c r="F35" i="11"/>
  <c r="F35" i="13"/>
  <c r="F37" i="14"/>
  <c r="F40" i="14" s="1"/>
  <c r="F28" i="12"/>
  <c r="F31" i="12" s="1"/>
  <c r="F37" i="34" l="1"/>
  <c r="F45" i="23"/>
  <c r="F48" i="23"/>
  <c r="F50" i="23" s="1"/>
  <c r="F52" i="23" s="1"/>
  <c r="F46" i="23"/>
  <c r="F49" i="23" s="1"/>
  <c r="F51" i="23" s="1"/>
  <c r="F53" i="23" s="1"/>
  <c r="F30" i="28"/>
  <c r="F32" i="28" s="1"/>
  <c r="F29" i="28"/>
  <c r="F29" i="30"/>
  <c r="F30" i="30"/>
  <c r="F32" i="30" s="1"/>
  <c r="F35" i="33"/>
  <c r="F34" i="33"/>
  <c r="F37" i="32"/>
  <c r="F40" i="32" s="1"/>
  <c r="F39" i="34"/>
  <c r="F42" i="34" s="1"/>
  <c r="F36" i="32"/>
  <c r="F39" i="32" s="1"/>
  <c r="F38" i="34"/>
  <c r="F41" i="34" s="1"/>
  <c r="F31" i="31"/>
  <c r="F32" i="31"/>
  <c r="F33" i="26"/>
  <c r="F34" i="26"/>
  <c r="F30" i="29"/>
  <c r="F32" i="29" s="1"/>
  <c r="F29" i="29"/>
  <c r="F42" i="24"/>
  <c r="F45" i="24" s="1"/>
  <c r="F41" i="24"/>
  <c r="F44" i="24" s="1"/>
  <c r="F30" i="27"/>
  <c r="F32" i="27" s="1"/>
  <c r="F29" i="27"/>
  <c r="F44" i="16"/>
  <c r="F43" i="16"/>
  <c r="F35" i="19"/>
  <c r="F36" i="19"/>
  <c r="F35" i="22"/>
  <c r="F36" i="22"/>
  <c r="F41" i="18"/>
  <c r="F40" i="18"/>
  <c r="F36" i="17"/>
  <c r="F35" i="17"/>
  <c r="F39" i="21"/>
  <c r="F38" i="21"/>
  <c r="F42" i="20"/>
  <c r="F43" i="20"/>
  <c r="F46" i="20" s="1"/>
  <c r="F45" i="20"/>
  <c r="F37" i="13"/>
  <c r="F40" i="13" s="1"/>
  <c r="F36" i="13"/>
  <c r="F39" i="13" s="1"/>
  <c r="F43" i="14"/>
  <c r="F44" i="14"/>
  <c r="F36" i="11"/>
  <c r="F39" i="11" s="1"/>
  <c r="F40" i="15"/>
  <c r="F43" i="15" s="1"/>
  <c r="F41" i="15"/>
  <c r="F44" i="15" s="1"/>
  <c r="F35" i="12"/>
  <c r="F34" i="12"/>
  <c r="F37" i="11"/>
  <c r="F40" i="11" s="1"/>
  <c r="F35" i="28" l="1"/>
  <c r="F31" i="28"/>
  <c r="F34" i="28" s="1"/>
  <c r="F42" i="32"/>
  <c r="F44" i="32" s="1"/>
  <c r="F44" i="34"/>
  <c r="F46" i="34" s="1"/>
  <c r="F34" i="31"/>
  <c r="F37" i="31" s="1"/>
  <c r="F36" i="33"/>
  <c r="F39" i="33"/>
  <c r="F33" i="31"/>
  <c r="F36" i="31" s="1"/>
  <c r="F43" i="34"/>
  <c r="F45" i="34" s="1"/>
  <c r="F37" i="33"/>
  <c r="F40" i="33"/>
  <c r="F41" i="32"/>
  <c r="F43" i="32" s="1"/>
  <c r="F35" i="30"/>
  <c r="F31" i="30"/>
  <c r="F34" i="30" s="1"/>
  <c r="F46" i="24"/>
  <c r="F48" i="24" s="1"/>
  <c r="F47" i="24"/>
  <c r="F49" i="24" s="1"/>
  <c r="F36" i="28"/>
  <c r="F38" i="28" s="1"/>
  <c r="F31" i="29"/>
  <c r="F34" i="29" s="1"/>
  <c r="F35" i="29"/>
  <c r="F37" i="28"/>
  <c r="F39" i="28" s="1"/>
  <c r="F35" i="26"/>
  <c r="F38" i="26" s="1"/>
  <c r="F36" i="26"/>
  <c r="F39" i="26"/>
  <c r="F35" i="27"/>
  <c r="F31" i="27"/>
  <c r="F34" i="27" s="1"/>
  <c r="F48" i="20"/>
  <c r="F50" i="20" s="1"/>
  <c r="F42" i="18"/>
  <c r="F45" i="18" s="1"/>
  <c r="F43" i="18"/>
  <c r="F46" i="18" s="1"/>
  <c r="F41" i="22"/>
  <c r="F37" i="19"/>
  <c r="F38" i="19"/>
  <c r="F41" i="19" s="1"/>
  <c r="F40" i="19"/>
  <c r="F37" i="22"/>
  <c r="F40" i="22" s="1"/>
  <c r="F38" i="22"/>
  <c r="F46" i="16"/>
  <c r="F49" i="16" s="1"/>
  <c r="F45" i="16"/>
  <c r="F48" i="16" s="1"/>
  <c r="F47" i="20"/>
  <c r="F49" i="20" s="1"/>
  <c r="F40" i="21"/>
  <c r="F43" i="21" s="1"/>
  <c r="F41" i="21"/>
  <c r="F44" i="21" s="1"/>
  <c r="F38" i="17"/>
  <c r="F37" i="17"/>
  <c r="F40" i="17" s="1"/>
  <c r="F41" i="17"/>
  <c r="F41" i="11"/>
  <c r="F43" i="11" s="1"/>
  <c r="F46" i="15"/>
  <c r="F48" i="15" s="1"/>
  <c r="F37" i="12"/>
  <c r="F40" i="12" s="1"/>
  <c r="F42" i="11"/>
  <c r="F44" i="11" s="1"/>
  <c r="F36" i="12"/>
  <c r="F39" i="12" s="1"/>
  <c r="F46" i="14"/>
  <c r="F49" i="14" s="1"/>
  <c r="F45" i="14"/>
  <c r="F48" i="14" s="1"/>
  <c r="F41" i="13"/>
  <c r="F43" i="13" s="1"/>
  <c r="F45" i="15"/>
  <c r="F47" i="15" s="1"/>
  <c r="F42" i="13"/>
  <c r="F44" i="13" s="1"/>
  <c r="F38" i="31" l="1"/>
  <c r="F40" i="31" s="1"/>
  <c r="F36" i="30"/>
  <c r="F38" i="30" s="1"/>
  <c r="F41" i="33"/>
  <c r="F43" i="33" s="1"/>
  <c r="F39" i="31"/>
  <c r="F41" i="31" s="1"/>
  <c r="F42" i="33"/>
  <c r="F44" i="33" s="1"/>
  <c r="F37" i="30"/>
  <c r="F39" i="30" s="1"/>
  <c r="F40" i="26"/>
  <c r="F42" i="26" s="1"/>
  <c r="F37" i="27"/>
  <c r="F39" i="27" s="1"/>
  <c r="F36" i="29"/>
  <c r="F38" i="29" s="1"/>
  <c r="F41" i="26"/>
  <c r="F43" i="26" s="1"/>
  <c r="F36" i="27"/>
  <c r="F38" i="27" s="1"/>
  <c r="F37" i="29"/>
  <c r="F39" i="29" s="1"/>
  <c r="F42" i="22"/>
  <c r="F44" i="22" s="1"/>
  <c r="F42" i="17"/>
  <c r="F44" i="17" s="1"/>
  <c r="F51" i="16"/>
  <c r="F53" i="16" s="1"/>
  <c r="F50" i="16"/>
  <c r="F52" i="16" s="1"/>
  <c r="F43" i="19"/>
  <c r="F45" i="19" s="1"/>
  <c r="F46" i="21"/>
  <c r="F48" i="21" s="1"/>
  <c r="F43" i="22"/>
  <c r="F45" i="22" s="1"/>
  <c r="F48" i="18"/>
  <c r="F50" i="18" s="1"/>
  <c r="F42" i="19"/>
  <c r="F44" i="19" s="1"/>
  <c r="F45" i="21"/>
  <c r="F47" i="21" s="1"/>
  <c r="F47" i="18"/>
  <c r="F49" i="18" s="1"/>
  <c r="F43" i="17"/>
  <c r="F45" i="17" s="1"/>
  <c r="F42" i="12"/>
  <c r="F44" i="12" s="1"/>
  <c r="F51" i="14"/>
  <c r="F53" i="14" s="1"/>
  <c r="F50" i="14"/>
  <c r="F52" i="14" s="1"/>
  <c r="F41" i="12"/>
  <c r="F43" i="12" s="1"/>
  <c r="Z3" i="1" l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" i="1"/>
  <c r="Q2" i="35" l="1"/>
  <c r="G2" i="35"/>
  <c r="H2" i="4" s="1"/>
  <c r="I2" i="4" l="1"/>
  <c r="J2" i="4"/>
  <c r="Q2" i="4"/>
  <c r="R2" i="4" l="1"/>
  <c r="L2" i="4"/>
  <c r="O2" i="4" s="1"/>
  <c r="S2" i="4"/>
  <c r="M2" i="4"/>
  <c r="P2" i="4" s="1"/>
  <c r="K2" i="4"/>
  <c r="N2" i="4" s="1"/>
</calcChain>
</file>

<file path=xl/sharedStrings.xml><?xml version="1.0" encoding="utf-8"?>
<sst xmlns="http://schemas.openxmlformats.org/spreadsheetml/2006/main" count="5448" uniqueCount="1427">
  <si>
    <t>Товар</t>
  </si>
  <si>
    <t>Объем Л</t>
  </si>
  <si>
    <t>200*100*40 6п</t>
  </si>
  <si>
    <t>200*100*50 4п</t>
  </si>
  <si>
    <t>Тариф, рубли</t>
  </si>
  <si>
    <t>Казань</t>
  </si>
  <si>
    <t>Дальний Восток</t>
  </si>
  <si>
    <t>Калининград</t>
  </si>
  <si>
    <t>Санкт-Петербург и СЗО</t>
  </si>
  <si>
    <t>Воронеж</t>
  </si>
  <si>
    <t>Москва, МО и Дальние регионы</t>
  </si>
  <si>
    <t>Уфа</t>
  </si>
  <si>
    <t>Самара</t>
  </si>
  <si>
    <t>Красноярск</t>
  </si>
  <si>
    <t>Тюмень</t>
  </si>
  <si>
    <t>Невинномысск</t>
  </si>
  <si>
    <t>Махачкала</t>
  </si>
  <si>
    <t>Саратов</t>
  </si>
  <si>
    <t>Ярославль</t>
  </si>
  <si>
    <t>Краснодар</t>
  </si>
  <si>
    <t>Екатеринбург</t>
  </si>
  <si>
    <t>Новосибирск</t>
  </si>
  <si>
    <t>Омск</t>
  </si>
  <si>
    <t>Оренбург</t>
  </si>
  <si>
    <t>Пермь</t>
  </si>
  <si>
    <t>Ростов</t>
  </si>
  <si>
    <t>Тверь</t>
  </si>
  <si>
    <t>ШБС 01-17</t>
  </si>
  <si>
    <t>ШБС 02-17</t>
  </si>
  <si>
    <t>СМ 30-Э</t>
  </si>
  <si>
    <t>СМ 30</t>
  </si>
  <si>
    <t>СМ 50</t>
  </si>
  <si>
    <t>СМ 50-Э</t>
  </si>
  <si>
    <t>СМ 25</t>
  </si>
  <si>
    <t>СМ 25-Э</t>
  </si>
  <si>
    <t>СМ 23-Э</t>
  </si>
  <si>
    <t>СМ 23</t>
  </si>
  <si>
    <t>СМ 20</t>
  </si>
  <si>
    <t>СМ 20-Э</t>
  </si>
  <si>
    <t>АМУ-1</t>
  </si>
  <si>
    <t>ШБС 01-МИНИ-Т</t>
  </si>
  <si>
    <t>ШБС 01-МИНИ</t>
  </si>
  <si>
    <t>К20</t>
  </si>
  <si>
    <t>ЯП-8</t>
  </si>
  <si>
    <t>ЯП-6</t>
  </si>
  <si>
    <t>ЯП-5</t>
  </si>
  <si>
    <t>ЯП-4</t>
  </si>
  <si>
    <t>К148</t>
  </si>
  <si>
    <t>К60</t>
  </si>
  <si>
    <t>К40</t>
  </si>
  <si>
    <t>200*100*40 4п</t>
  </si>
  <si>
    <t>Объём отгрузки*</t>
  </si>
  <si>
    <t>Тариф на литр отгрузки</t>
  </si>
  <si>
    <t>до 1000 л </t>
  </si>
  <si>
    <t>1,9 ₽</t>
  </si>
  <si>
    <t>от 1000 до 4000 л</t>
  </si>
  <si>
    <t>1,7 ₽ </t>
  </si>
  <si>
    <t>от 4000 до 16 000 л </t>
  </si>
  <si>
    <t>1,5 ₽ </t>
  </si>
  <si>
    <t>более 16 000 л</t>
  </si>
  <si>
    <t>1,3 ₽ </t>
  </si>
  <si>
    <t>Тип точки отгрузки</t>
  </si>
  <si>
    <t>Тариф за отправление</t>
  </si>
  <si>
    <t>ПВЗ/ППЗ</t>
  </si>
  <si>
    <t>30 ₽</t>
  </si>
  <si>
    <t>СЦ</t>
  </si>
  <si>
    <t>20 ₽</t>
  </si>
  <si>
    <t>ДОСТАВКА ДО ПВЗ</t>
  </si>
  <si>
    <t>до 25р</t>
  </si>
  <si>
    <t>Выдача товара</t>
  </si>
  <si>
    <t>от 5% до 10% от цены товара, но не превышает 250 ₽.</t>
  </si>
  <si>
    <t>Обработка возврата</t>
  </si>
  <si>
    <t>15р за товар</t>
  </si>
  <si>
    <t>межкласстерный коэффицент</t>
  </si>
  <si>
    <t>Обратная логистика</t>
  </si>
  <si>
    <t>Тариф на обратную логистику равен тарифу на логистику, но без учёта межкластерного коэффициента.</t>
  </si>
  <si>
    <t>Кластер отправки/Кластер доставки</t>
  </si>
  <si>
    <t>Беларусь</t>
  </si>
  <si>
    <t>Астана</t>
  </si>
  <si>
    <t>Алматы</t>
  </si>
  <si>
    <t>Армения</t>
  </si>
  <si>
    <t>Наименование</t>
  </si>
  <si>
    <t>Размер</t>
  </si>
  <si>
    <t>Прибыль</t>
  </si>
  <si>
    <t>Стеллаж металлический СТ-СПЭ</t>
  </si>
  <si>
    <t>Почтовый ящик ЯП-04 с замками</t>
  </si>
  <si>
    <t>474х377х190</t>
  </si>
  <si>
    <t>Почтовый ящик ЯП-05 с замками</t>
  </si>
  <si>
    <t>559х377х190</t>
  </si>
  <si>
    <t>Почтовый ящик ЯП-06 с замками</t>
  </si>
  <si>
    <t>643х377х190</t>
  </si>
  <si>
    <t>Почтовый ящик ЯП-08 с замками</t>
  </si>
  <si>
    <t>812х377х190</t>
  </si>
  <si>
    <t>Ключница К-20</t>
  </si>
  <si>
    <t>275x195x70</t>
  </si>
  <si>
    <t>Ключница К-40</t>
  </si>
  <si>
    <t>430х343х70</t>
  </si>
  <si>
    <t>Ключница К-60</t>
  </si>
  <si>
    <t>Ключница К-148</t>
  </si>
  <si>
    <t>ШБС-01 мини</t>
  </si>
  <si>
    <t>350х440х360</t>
  </si>
  <si>
    <t>ШБС-01 мини Т</t>
  </si>
  <si>
    <t>Аптечка АМУ-1</t>
  </si>
  <si>
    <t>385х300х160</t>
  </si>
  <si>
    <t>Сейф мебельный СМ-20</t>
  </si>
  <si>
    <t>200х310х200</t>
  </si>
  <si>
    <t>Сейф мебельный СМ-20Э</t>
  </si>
  <si>
    <t>Сейф мебельный СМ-23</t>
  </si>
  <si>
    <t>229х405х335</t>
  </si>
  <si>
    <t>Сейф мебельный СМ-23Э</t>
  </si>
  <si>
    <t>Сейф мебельный СМ-25</t>
  </si>
  <si>
    <t>250х350х250</t>
  </si>
  <si>
    <t>Сейф мебельный СМ-25Э</t>
  </si>
  <si>
    <t>Сейф мебельный СМ-30</t>
  </si>
  <si>
    <t>300х380х300</t>
  </si>
  <si>
    <t>Сейф мебельный СМ-30Э</t>
  </si>
  <si>
    <t>Сейф мебельный СМ-50</t>
  </si>
  <si>
    <t>500х350х310</t>
  </si>
  <si>
    <t>Сейф мебельный СМ-50Э</t>
  </si>
  <si>
    <t>Шкаф бухгалтерский ШБС-01-17</t>
  </si>
  <si>
    <t>1700x500x400</t>
  </si>
  <si>
    <t>Шкаф бухгалтерский ШБС-02-17</t>
  </si>
  <si>
    <t>Объём товара, литры</t>
  </si>
  <si>
    <t>0 - 0.2</t>
  </si>
  <si>
    <t>0.21 - 0.4</t>
  </si>
  <si>
    <t>0.41 - 0.6</t>
  </si>
  <si>
    <t>0.61 - 0.8</t>
  </si>
  <si>
    <t>0.81 - 1</t>
  </si>
  <si>
    <t>1.01 - 1.25</t>
  </si>
  <si>
    <t>1.26 - 1.5</t>
  </si>
  <si>
    <t>1.51 - 1.75</t>
  </si>
  <si>
    <t>1.76 - 2</t>
  </si>
  <si>
    <t>2.01 - 3</t>
  </si>
  <si>
    <t>3.01 - 4</t>
  </si>
  <si>
    <t>4.01 - 5</t>
  </si>
  <si>
    <t>5.01 - 6</t>
  </si>
  <si>
    <t>6.01 - 7</t>
  </si>
  <si>
    <t>7.01 - 8</t>
  </si>
  <si>
    <t>8.01 - 9</t>
  </si>
  <si>
    <t>9.01 - 10</t>
  </si>
  <si>
    <t>10.01 - 11</t>
  </si>
  <si>
    <t>11.01 - 12</t>
  </si>
  <si>
    <t>12.01 - 13</t>
  </si>
  <si>
    <t>13.01 - 14</t>
  </si>
  <si>
    <t>14.01 - 15</t>
  </si>
  <si>
    <t>15.01 - 17</t>
  </si>
  <si>
    <t>17.01 - 20</t>
  </si>
  <si>
    <t>20.01 - 25</t>
  </si>
  <si>
    <t>25.01 - 30</t>
  </si>
  <si>
    <t>30.01 - 35</t>
  </si>
  <si>
    <t>35.01 - 40</t>
  </si>
  <si>
    <t>40.01 - 45</t>
  </si>
  <si>
    <t>45.01 - 50</t>
  </si>
  <si>
    <t>50.01 - 60</t>
  </si>
  <si>
    <t>60.01 - 70</t>
  </si>
  <si>
    <t>70.01 - 80</t>
  </si>
  <si>
    <t>80.01 - 90</t>
  </si>
  <si>
    <t>90.01 - 100</t>
  </si>
  <si>
    <t>100.01 - 125</t>
  </si>
  <si>
    <t>125.01 - 150</t>
  </si>
  <si>
    <t>150.01 - 175</t>
  </si>
  <si>
    <t>175.01 - 190</t>
  </si>
  <si>
    <t>190.01 - 191</t>
  </si>
  <si>
    <t>191.01 - 192</t>
  </si>
  <si>
    <t>192.01 - 193</t>
  </si>
  <si>
    <t>193.01 - 194</t>
  </si>
  <si>
    <t>194.01 - 195</t>
  </si>
  <si>
    <t>195.01 - 196</t>
  </si>
  <si>
    <t>196.01 - 197</t>
  </si>
  <si>
    <t>197.01 - 198</t>
  </si>
  <si>
    <t>198.01 - 199</t>
  </si>
  <si>
    <t>199.01 - 200</t>
  </si>
  <si>
    <t>200.01 - 201</t>
  </si>
  <si>
    <t>201.01 - 202</t>
  </si>
  <si>
    <t>202.01 - 203</t>
  </si>
  <si>
    <t>203.01 - 204</t>
  </si>
  <si>
    <t>204.01 - 205</t>
  </si>
  <si>
    <t>205.01 - 206</t>
  </si>
  <si>
    <t>206.01 - 207</t>
  </si>
  <si>
    <t>207.01 - 208</t>
  </si>
  <si>
    <t>208.01 - 209</t>
  </si>
  <si>
    <t>209.01 - 210</t>
  </si>
  <si>
    <t>210.01 - 211</t>
  </si>
  <si>
    <t>211.01 - 212</t>
  </si>
  <si>
    <t>212.01 - 213</t>
  </si>
  <si>
    <t>213.01 - 214</t>
  </si>
  <si>
    <t>214.01 - 215</t>
  </si>
  <si>
    <t>215.01 - 216</t>
  </si>
  <si>
    <t>216.01 - 217</t>
  </si>
  <si>
    <t>217.01 - 218</t>
  </si>
  <si>
    <t>218.01 - 219</t>
  </si>
  <si>
    <t>219.01 - 220</t>
  </si>
  <si>
    <t>220.01 - 221</t>
  </si>
  <si>
    <t>221.01 - 222</t>
  </si>
  <si>
    <t>222.01 - 223</t>
  </si>
  <si>
    <t>223.01 - 224</t>
  </si>
  <si>
    <t>224.01 - 225</t>
  </si>
  <si>
    <t>225.01 - 226</t>
  </si>
  <si>
    <t>226.01 - 227</t>
  </si>
  <si>
    <t>227.01 - 228</t>
  </si>
  <si>
    <t>228.01 - 229</t>
  </si>
  <si>
    <t>229.01 - 230</t>
  </si>
  <si>
    <t>230.01 - 231</t>
  </si>
  <si>
    <t>231.01 - 232</t>
  </si>
  <si>
    <t>232.01 - 233</t>
  </si>
  <si>
    <t>233.01 - 234</t>
  </si>
  <si>
    <t>234.01 - 235</t>
  </si>
  <si>
    <t>235.01 - 236</t>
  </si>
  <si>
    <t>236.01 - 237</t>
  </si>
  <si>
    <t>237.01 - 238</t>
  </si>
  <si>
    <t>238.01 - 239</t>
  </si>
  <si>
    <t>239.01 - 240</t>
  </si>
  <si>
    <t>240.01 - 241</t>
  </si>
  <si>
    <t>241.01 - 242</t>
  </si>
  <si>
    <t>242.01 - 243</t>
  </si>
  <si>
    <t>243.01 - 244</t>
  </si>
  <si>
    <t>244.01 - 245</t>
  </si>
  <si>
    <t>245.01 - 246</t>
  </si>
  <si>
    <t>246.01 - 247</t>
  </si>
  <si>
    <t>247.01 - 248</t>
  </si>
  <si>
    <t>248.01 - 249</t>
  </si>
  <si>
    <t>249.01 - 250</t>
  </si>
  <si>
    <t>250.01 - 251</t>
  </si>
  <si>
    <t>251.01 - 252</t>
  </si>
  <si>
    <t>252.01 - 253</t>
  </si>
  <si>
    <t>253.01 - 254</t>
  </si>
  <si>
    <t>254.01 - 255</t>
  </si>
  <si>
    <t>255.01 - 256</t>
  </si>
  <si>
    <t>256.01 - 257</t>
  </si>
  <si>
    <t>257.01 - 258</t>
  </si>
  <si>
    <t>258.01 - 259</t>
  </si>
  <si>
    <t>259.01 - 260</t>
  </si>
  <si>
    <t>260.01 - 261</t>
  </si>
  <si>
    <t>261.01 - 262</t>
  </si>
  <si>
    <t>262.01 - 263</t>
  </si>
  <si>
    <t>263.01 - 264</t>
  </si>
  <si>
    <t>264.01 - 265</t>
  </si>
  <si>
    <t>265.01 - 266</t>
  </si>
  <si>
    <t>266.01 - 267</t>
  </si>
  <si>
    <t>267.01 - 268</t>
  </si>
  <si>
    <t>268.01 - 269</t>
  </si>
  <si>
    <t>269.01 - 270</t>
  </si>
  <si>
    <t>270.01 - 271</t>
  </si>
  <si>
    <t>271.01 - 272</t>
  </si>
  <si>
    <t>272.01 - 273</t>
  </si>
  <si>
    <t>273.01 - 274</t>
  </si>
  <si>
    <t>274.01 - 275</t>
  </si>
  <si>
    <t>275.01 - 276</t>
  </si>
  <si>
    <t>276.01 - 277</t>
  </si>
  <si>
    <t>277.01 - 278</t>
  </si>
  <si>
    <t>278.01 - 279</t>
  </si>
  <si>
    <t>279.01 - 280</t>
  </si>
  <si>
    <t>280.01 - 281</t>
  </si>
  <si>
    <t>281.01 - 282</t>
  </si>
  <si>
    <t>282.01 - 283</t>
  </si>
  <si>
    <t>283.01 - 284</t>
  </si>
  <si>
    <t>284.01 - 285</t>
  </si>
  <si>
    <t>285.01 - 286</t>
  </si>
  <si>
    <t>286.01 - 287</t>
  </si>
  <si>
    <t>287.01 - 288</t>
  </si>
  <si>
    <t>288.01 - 289</t>
  </si>
  <si>
    <t>289.01 - 290</t>
  </si>
  <si>
    <t>290.01 - 291</t>
  </si>
  <si>
    <t>291.01 - 292</t>
  </si>
  <si>
    <t>292.01 - 293</t>
  </si>
  <si>
    <t>293.01 - 294</t>
  </si>
  <si>
    <t>294.01 - 295</t>
  </si>
  <si>
    <t>295.01 - 296</t>
  </si>
  <si>
    <t>296.01 - 297</t>
  </si>
  <si>
    <t>297.01 - 298</t>
  </si>
  <si>
    <t>298.01 - 299</t>
  </si>
  <si>
    <t>299.01 - 300</t>
  </si>
  <si>
    <t>300.01 - 301</t>
  </si>
  <si>
    <t>301.01 - 302</t>
  </si>
  <si>
    <t>302.01 - 303</t>
  </si>
  <si>
    <t>303.01 - 304</t>
  </si>
  <si>
    <t>304.01 - 305</t>
  </si>
  <si>
    <t>305.01 - 306</t>
  </si>
  <si>
    <t>306.01 - 307</t>
  </si>
  <si>
    <t>307.01 - 308</t>
  </si>
  <si>
    <t>308.01 - 309</t>
  </si>
  <si>
    <t>309.01 - 310</t>
  </si>
  <si>
    <t>310.01 - 311</t>
  </si>
  <si>
    <t>311.01 - 312</t>
  </si>
  <si>
    <t>312.01 - 313</t>
  </si>
  <si>
    <t>313.01 - 314</t>
  </si>
  <si>
    <t>314.01 - 315</t>
  </si>
  <si>
    <t>315.01 - 316</t>
  </si>
  <si>
    <t>316.01 - 317</t>
  </si>
  <si>
    <t>317.01 - 318</t>
  </si>
  <si>
    <t>318.01 - 319</t>
  </si>
  <si>
    <t>319.01 - 320</t>
  </si>
  <si>
    <t>320.01 - 321</t>
  </si>
  <si>
    <t>321.01 - 322</t>
  </si>
  <si>
    <t>322.01 - 323</t>
  </si>
  <si>
    <t>323.01 - 324</t>
  </si>
  <si>
    <t>324.01 - 325</t>
  </si>
  <si>
    <t>325.01 - 326</t>
  </si>
  <si>
    <t>326.01 - 327</t>
  </si>
  <si>
    <t>327.01 - 328</t>
  </si>
  <si>
    <t>328.01 - 329</t>
  </si>
  <si>
    <t>329.01 - 330</t>
  </si>
  <si>
    <t>330.01 - 331</t>
  </si>
  <si>
    <t>331.01 - 332</t>
  </si>
  <si>
    <t>332.01 - 333</t>
  </si>
  <si>
    <t>333.01 - 334</t>
  </si>
  <si>
    <t>334.01 - 335</t>
  </si>
  <si>
    <t>335.01 - 336</t>
  </si>
  <si>
    <t>336.01 - 337</t>
  </si>
  <si>
    <t>337.01 - 338</t>
  </si>
  <si>
    <t>338.01 - 339</t>
  </si>
  <si>
    <t>339.01 - 340</t>
  </si>
  <si>
    <t>340.01 - 341</t>
  </si>
  <si>
    <t>341.01 - 342</t>
  </si>
  <si>
    <t>342.01 - 343</t>
  </si>
  <si>
    <t>343.01 - 344</t>
  </si>
  <si>
    <t>344.01 - 345</t>
  </si>
  <si>
    <t>345.01 - 346</t>
  </si>
  <si>
    <t>346.01 - 347</t>
  </si>
  <si>
    <t>347.01 - 348</t>
  </si>
  <si>
    <t>348.01 - 349</t>
  </si>
  <si>
    <t>349.01 - 350</t>
  </si>
  <si>
    <t>350.01 - 351</t>
  </si>
  <si>
    <t>351.01 - 352</t>
  </si>
  <si>
    <t>352.01 - 353</t>
  </si>
  <si>
    <t>353.01 - 354</t>
  </si>
  <si>
    <t>354.01 - 355</t>
  </si>
  <si>
    <t>355.01 - 356</t>
  </si>
  <si>
    <t>356.01 - 357</t>
  </si>
  <si>
    <t>357.01 - 358</t>
  </si>
  <si>
    <t>358.01 - 359</t>
  </si>
  <si>
    <t>359.01 - 360</t>
  </si>
  <si>
    <t>360.01 - 361</t>
  </si>
  <si>
    <t>361.01 - 362</t>
  </si>
  <si>
    <t>362.01 - 363</t>
  </si>
  <si>
    <t>363.01 - 364</t>
  </si>
  <si>
    <t>364.01 - 365</t>
  </si>
  <si>
    <t>365.01 - 366</t>
  </si>
  <si>
    <t>366.01 - 367</t>
  </si>
  <si>
    <t>367.01 - 368</t>
  </si>
  <si>
    <t>368.01 - 369</t>
  </si>
  <si>
    <t>369.01 - 370</t>
  </si>
  <si>
    <t>370.01 - 371</t>
  </si>
  <si>
    <t>371.01 - 372</t>
  </si>
  <si>
    <t>372.01 - 373</t>
  </si>
  <si>
    <t>373.01 - 374</t>
  </si>
  <si>
    <t>374.01 - 375</t>
  </si>
  <si>
    <t>375.01 - 376</t>
  </si>
  <si>
    <t>376.01 - 377</t>
  </si>
  <si>
    <t>377.01 - 378</t>
  </si>
  <si>
    <t>378.01 - 379</t>
  </si>
  <si>
    <t>379.01 - 380</t>
  </si>
  <si>
    <t>380.01 - 381</t>
  </si>
  <si>
    <t>381.01 - 382</t>
  </si>
  <si>
    <t>382.01 - 383</t>
  </si>
  <si>
    <t>383.01 - 384</t>
  </si>
  <si>
    <t>384.01 - 385</t>
  </si>
  <si>
    <t>385.01 - 386</t>
  </si>
  <si>
    <t>386.01 - 387</t>
  </si>
  <si>
    <t>387.01 - 388</t>
  </si>
  <si>
    <t>388.01 - 389</t>
  </si>
  <si>
    <t>389.01 - 390</t>
  </si>
  <si>
    <t>390.01 - 391</t>
  </si>
  <si>
    <t>391.01 - 392</t>
  </si>
  <si>
    <t>392.01 - 393</t>
  </si>
  <si>
    <t>393.01 - 394</t>
  </si>
  <si>
    <t>394.01 - 395</t>
  </si>
  <si>
    <t>395.01 - 396</t>
  </si>
  <si>
    <t>396.01 - 397</t>
  </si>
  <si>
    <t>397.01 - 398</t>
  </si>
  <si>
    <t>398.01 - 399</t>
  </si>
  <si>
    <t>399.01 - 400</t>
  </si>
  <si>
    <t>400.01 - 401</t>
  </si>
  <si>
    <t>401.01 - 402</t>
  </si>
  <si>
    <t>402.01 - 403</t>
  </si>
  <si>
    <t>403.01 - 404</t>
  </si>
  <si>
    <t>404.01 - 405</t>
  </si>
  <si>
    <t>405.01 - 406</t>
  </si>
  <si>
    <t>406.01 - 407</t>
  </si>
  <si>
    <t>407.01 - 408</t>
  </si>
  <si>
    <t>408.01 - 409</t>
  </si>
  <si>
    <t>409.01 - 410</t>
  </si>
  <si>
    <t>410.01 - 411</t>
  </si>
  <si>
    <t>411.01 - 412</t>
  </si>
  <si>
    <t>412.01 - 413</t>
  </si>
  <si>
    <t>413.01 - 414</t>
  </si>
  <si>
    <t>414.01 - 415</t>
  </si>
  <si>
    <t>415.01 - 416</t>
  </si>
  <si>
    <t>416.01 - 417</t>
  </si>
  <si>
    <t>417.01 - 418</t>
  </si>
  <si>
    <t>418.01 - 419</t>
  </si>
  <si>
    <t>419.01 - 420</t>
  </si>
  <si>
    <t>420.01 - 421</t>
  </si>
  <si>
    <t>421.01 - 422</t>
  </si>
  <si>
    <t>422.01 - 423</t>
  </si>
  <si>
    <t>423.01 - 424</t>
  </si>
  <si>
    <t>424.01 - 425</t>
  </si>
  <si>
    <t>425.01 - 426</t>
  </si>
  <si>
    <t>426.01 - 427</t>
  </si>
  <si>
    <t>427.01 - 428</t>
  </si>
  <si>
    <t>428.01 - 429</t>
  </si>
  <si>
    <t>429.01 - 430</t>
  </si>
  <si>
    <t>430.01 - 431</t>
  </si>
  <si>
    <t>431.01 - 432</t>
  </si>
  <si>
    <t>432.01 - 433</t>
  </si>
  <si>
    <t>433.01 - 434</t>
  </si>
  <si>
    <t>434.01 - 435</t>
  </si>
  <si>
    <t>435.01 - 436</t>
  </si>
  <si>
    <t>436.01 - 437</t>
  </si>
  <si>
    <t>437.01 - 438</t>
  </si>
  <si>
    <t>438.01 - 439</t>
  </si>
  <si>
    <t>439.01 - 440</t>
  </si>
  <si>
    <t>440.01 - 441</t>
  </si>
  <si>
    <t>441.01 - 442</t>
  </si>
  <si>
    <t>442.01 - 443</t>
  </si>
  <si>
    <t>443.01 - 444</t>
  </si>
  <si>
    <t>444.01 - 445</t>
  </si>
  <si>
    <t>445.01 - 446</t>
  </si>
  <si>
    <t>446.01 - 447</t>
  </si>
  <si>
    <t>447.01 - 448</t>
  </si>
  <si>
    <t>448.01 - 449</t>
  </si>
  <si>
    <t>449.01 - 450</t>
  </si>
  <si>
    <t>450.01 - 451</t>
  </si>
  <si>
    <t>451.01 - 452</t>
  </si>
  <si>
    <t>452.01 - 453</t>
  </si>
  <si>
    <t>453.01 - 454</t>
  </si>
  <si>
    <t>454.01 - 455</t>
  </si>
  <si>
    <t>455.01 - 456</t>
  </si>
  <si>
    <t>456.01 - 457</t>
  </si>
  <si>
    <t>457.01 - 458</t>
  </si>
  <si>
    <t>458.01 - 459</t>
  </si>
  <si>
    <t>459.01 - 460</t>
  </si>
  <si>
    <t>460.01 - 461</t>
  </si>
  <si>
    <t>461.01 - 462</t>
  </si>
  <si>
    <t>462.01 - 463</t>
  </si>
  <si>
    <t>463.01 - 464</t>
  </si>
  <si>
    <t>464.01 - 465</t>
  </si>
  <si>
    <t>465.01 - 466</t>
  </si>
  <si>
    <t>466.01 - 467</t>
  </si>
  <si>
    <t>467.01 - 468</t>
  </si>
  <si>
    <t>468.01 - 469</t>
  </si>
  <si>
    <t>469.01 - 470</t>
  </si>
  <si>
    <t>470.01 - 471</t>
  </si>
  <si>
    <t>471.01 - 472</t>
  </si>
  <si>
    <t>472.01 - 473</t>
  </si>
  <si>
    <t>473.01 - 474</t>
  </si>
  <si>
    <t>474.01 - 475</t>
  </si>
  <si>
    <t>475.01 - 476</t>
  </si>
  <si>
    <t>476.01 - 477</t>
  </si>
  <si>
    <t>477.01 - 478</t>
  </si>
  <si>
    <t>478.01 - 479</t>
  </si>
  <si>
    <t>479.01 - 480</t>
  </si>
  <si>
    <t>480.01 - 481</t>
  </si>
  <si>
    <t>481.01 - 482</t>
  </si>
  <si>
    <t>482.01 - 483</t>
  </si>
  <si>
    <t>483.01 - 484</t>
  </si>
  <si>
    <t>484.01 - 485</t>
  </si>
  <si>
    <t>485.01 - 486</t>
  </si>
  <si>
    <t>486.01 - 487</t>
  </si>
  <si>
    <t>487.01 - 488</t>
  </si>
  <si>
    <t>488.01 - 489</t>
  </si>
  <si>
    <t>489.01 - 490</t>
  </si>
  <si>
    <t>490.01 - 491</t>
  </si>
  <si>
    <t>491.01 - 492</t>
  </si>
  <si>
    <t>492.01 - 493</t>
  </si>
  <si>
    <t>493.01 - 494</t>
  </si>
  <si>
    <t>494.01 - 495</t>
  </si>
  <si>
    <t>495.01 - 496</t>
  </si>
  <si>
    <t>496.01 - 497</t>
  </si>
  <si>
    <t>497.01 - 498</t>
  </si>
  <si>
    <t>498.01 - 499</t>
  </si>
  <si>
    <t>499.01 - 500</t>
  </si>
  <si>
    <t>500.01 - 501</t>
  </si>
  <si>
    <t>501.01 - 502</t>
  </si>
  <si>
    <t>502.01 - 503</t>
  </si>
  <si>
    <t>503.01 - 504</t>
  </si>
  <si>
    <t>504.01 - 505</t>
  </si>
  <si>
    <t>505.01 - 506</t>
  </si>
  <si>
    <t>506.01 - 507</t>
  </si>
  <si>
    <t>507.01 - 508</t>
  </si>
  <si>
    <t>508.01 - 509</t>
  </si>
  <si>
    <t>509.01 - 510</t>
  </si>
  <si>
    <t>510.01 - 511</t>
  </si>
  <si>
    <t>511.01 - 512</t>
  </si>
  <si>
    <t>512.01 - 513</t>
  </si>
  <si>
    <t>513.01 - 514</t>
  </si>
  <si>
    <t>514.01 - 515</t>
  </si>
  <si>
    <t>515.01 - 516</t>
  </si>
  <si>
    <t>516.01 - 517</t>
  </si>
  <si>
    <t>517.01 - 518</t>
  </si>
  <si>
    <t>518.01 - 519</t>
  </si>
  <si>
    <t>519.01 - 520</t>
  </si>
  <si>
    <t>520.01 - 521</t>
  </si>
  <si>
    <t>521.01 - 522</t>
  </si>
  <si>
    <t>522.01 - 523</t>
  </si>
  <si>
    <t>523.01 - 524</t>
  </si>
  <si>
    <t>524.01 - 525</t>
  </si>
  <si>
    <t>525.01 - 526</t>
  </si>
  <si>
    <t>526.01 - 527</t>
  </si>
  <si>
    <t>527.01 - 528</t>
  </si>
  <si>
    <t>528.01 - 529</t>
  </si>
  <si>
    <t>529.01 - 530</t>
  </si>
  <si>
    <t>530.01 - 531</t>
  </si>
  <si>
    <t>531.01 - 532</t>
  </si>
  <si>
    <t>532.01 - 533</t>
  </si>
  <si>
    <t>533.01 - 534</t>
  </si>
  <si>
    <t>534.01 - 535</t>
  </si>
  <si>
    <t>535.01 - 536</t>
  </si>
  <si>
    <t>536.01 - 537</t>
  </si>
  <si>
    <t>537.01 - 538</t>
  </si>
  <si>
    <t>538.01 - 539</t>
  </si>
  <si>
    <t>539.01 - 540</t>
  </si>
  <si>
    <t>540.01 - 541</t>
  </si>
  <si>
    <t>541.01 - 542</t>
  </si>
  <si>
    <t>542.01 - 543</t>
  </si>
  <si>
    <t>543.01 - 544</t>
  </si>
  <si>
    <t>544.01 - 545</t>
  </si>
  <si>
    <t>545.01 - 546</t>
  </si>
  <si>
    <t>546.01 - 547</t>
  </si>
  <si>
    <t>547.01 - 548</t>
  </si>
  <si>
    <t>548.01 - 549</t>
  </si>
  <si>
    <t>549.01 - 550</t>
  </si>
  <si>
    <t>550.01 - 551</t>
  </si>
  <si>
    <t>551.01 - 552</t>
  </si>
  <si>
    <t>552.01 - 553</t>
  </si>
  <si>
    <t>553.01 - 554</t>
  </si>
  <si>
    <t>554.01 - 555</t>
  </si>
  <si>
    <t>555.01 - 556</t>
  </si>
  <si>
    <t>556.01 - 557</t>
  </si>
  <si>
    <t>557.01 - 558</t>
  </si>
  <si>
    <t>558.01 - 559</t>
  </si>
  <si>
    <t>559.01 - 560</t>
  </si>
  <si>
    <t>560.01 - 561</t>
  </si>
  <si>
    <t>561.01 - 562</t>
  </si>
  <si>
    <t>562.01 - 563</t>
  </si>
  <si>
    <t>563.01 - 564</t>
  </si>
  <si>
    <t>564.01 - 565</t>
  </si>
  <si>
    <t>565.01 - 566</t>
  </si>
  <si>
    <t>566.01 - 567</t>
  </si>
  <si>
    <t>567.01 - 568</t>
  </si>
  <si>
    <t>568.01 - 569</t>
  </si>
  <si>
    <t>569.01 - 570</t>
  </si>
  <si>
    <t>570.01 - 571</t>
  </si>
  <si>
    <t>571.01 - 572</t>
  </si>
  <si>
    <t>572.01 - 573</t>
  </si>
  <si>
    <t>573.01 - 574</t>
  </si>
  <si>
    <t>574.01 - 575</t>
  </si>
  <si>
    <t>575.01 - 576</t>
  </si>
  <si>
    <t>576.01 - 577</t>
  </si>
  <si>
    <t>577.01 - 578</t>
  </si>
  <si>
    <t>578.01 - 579</t>
  </si>
  <si>
    <t>579.01 - 580</t>
  </si>
  <si>
    <t>580.01 - 581</t>
  </si>
  <si>
    <t>581.01 - 582</t>
  </si>
  <si>
    <t>582.01 - 583</t>
  </si>
  <si>
    <t>583.01 - 584</t>
  </si>
  <si>
    <t>584.01 - 585</t>
  </si>
  <si>
    <t>585.01 - 586</t>
  </si>
  <si>
    <t>586.01 - 587</t>
  </si>
  <si>
    <t>587.01 - 588</t>
  </si>
  <si>
    <t>588.01 - 589</t>
  </si>
  <si>
    <t>589.01 - 590</t>
  </si>
  <si>
    <t>590.01 - 591</t>
  </si>
  <si>
    <t>591.01 - 592</t>
  </si>
  <si>
    <t>592.01 - 593</t>
  </si>
  <si>
    <t>593.01 - 594</t>
  </si>
  <si>
    <t>594.01 - 595</t>
  </si>
  <si>
    <t>595.01 - 596</t>
  </si>
  <si>
    <t>596.01 - 597</t>
  </si>
  <si>
    <t>597.01 - 598</t>
  </si>
  <si>
    <t>598.01 - 599</t>
  </si>
  <si>
    <t>599.01 - 600</t>
  </si>
  <si>
    <t>600.01 - 601</t>
  </si>
  <si>
    <t>601.01 - 602</t>
  </si>
  <si>
    <t>602.01 - 603</t>
  </si>
  <si>
    <t>603.01 - 604</t>
  </si>
  <si>
    <t>604.01 - 605</t>
  </si>
  <si>
    <t>605.01 - 606</t>
  </si>
  <si>
    <t>606.01 - 607</t>
  </si>
  <si>
    <t>607.01 - 608</t>
  </si>
  <si>
    <t>608.01 - 609</t>
  </si>
  <si>
    <t>609.01 - 610</t>
  </si>
  <si>
    <t>610.01 - 611</t>
  </si>
  <si>
    <t>611.01 - 612</t>
  </si>
  <si>
    <t>612.01 - 613</t>
  </si>
  <si>
    <t>613.01 - 614</t>
  </si>
  <si>
    <t>614.01 - 615</t>
  </si>
  <si>
    <t>615.01 - 616</t>
  </si>
  <si>
    <t>616.01 - 617</t>
  </si>
  <si>
    <t>617.01 - 618</t>
  </si>
  <si>
    <t>618.01 - 619</t>
  </si>
  <si>
    <t>619.01 - 620</t>
  </si>
  <si>
    <t>620.01 - 621</t>
  </si>
  <si>
    <t>621.01 - 622</t>
  </si>
  <si>
    <t>622.01 - 623</t>
  </si>
  <si>
    <t>623.01 - 624</t>
  </si>
  <si>
    <t>624.01 - 625</t>
  </si>
  <si>
    <t>625.01 - 626</t>
  </si>
  <si>
    <t>626.01 - 627</t>
  </si>
  <si>
    <t>627.01 - 628</t>
  </si>
  <si>
    <t>628.01 - 629</t>
  </si>
  <si>
    <t>629.01 - 630</t>
  </si>
  <si>
    <t>630.01 - 631</t>
  </si>
  <si>
    <t>631.01 - 632</t>
  </si>
  <si>
    <t>632.01 - 633</t>
  </si>
  <si>
    <t>633.01 - 634</t>
  </si>
  <si>
    <t>634.01 - 635</t>
  </si>
  <si>
    <t>635.01 - 636</t>
  </si>
  <si>
    <t>636.01 - 637</t>
  </si>
  <si>
    <t>637.01 - 638</t>
  </si>
  <si>
    <t>638.01 - 639</t>
  </si>
  <si>
    <t>639.01 - 640</t>
  </si>
  <si>
    <t>640.01 - 641</t>
  </si>
  <si>
    <t>641.01 - 642</t>
  </si>
  <si>
    <t>642.01 - 643</t>
  </si>
  <si>
    <t>643.01 - 644</t>
  </si>
  <si>
    <t>644.01 - 645</t>
  </si>
  <si>
    <t>645.01 - 646</t>
  </si>
  <si>
    <t>646.01 - 647</t>
  </si>
  <si>
    <t>647.01 - 648</t>
  </si>
  <si>
    <t>648.01 - 649</t>
  </si>
  <si>
    <t>649.01 - 650</t>
  </si>
  <si>
    <t>650.01 - 651</t>
  </si>
  <si>
    <t>651.01 - 652</t>
  </si>
  <si>
    <t>652.01 - 653</t>
  </si>
  <si>
    <t>653.01 - 654</t>
  </si>
  <si>
    <t>654.01 - 655</t>
  </si>
  <si>
    <t>655.01 - 656</t>
  </si>
  <si>
    <t>656.01 - 657</t>
  </si>
  <si>
    <t>657.01 - 658</t>
  </si>
  <si>
    <t>658.01 - 659</t>
  </si>
  <si>
    <t>659.01 - 660</t>
  </si>
  <si>
    <t>660.01 - 661</t>
  </si>
  <si>
    <t>661.01 - 662</t>
  </si>
  <si>
    <t>662.01 - 663</t>
  </si>
  <si>
    <t>663.01 - 664</t>
  </si>
  <si>
    <t>664.01 - 665</t>
  </si>
  <si>
    <t>665.01 - 666</t>
  </si>
  <si>
    <t>666.01 - 667</t>
  </si>
  <si>
    <t>667.01 - 668</t>
  </si>
  <si>
    <t>668.01 - 669</t>
  </si>
  <si>
    <t>669.01 - 670</t>
  </si>
  <si>
    <t>670.01 - 671</t>
  </si>
  <si>
    <t>671.01 - 672</t>
  </si>
  <si>
    <t>672.01 - 673</t>
  </si>
  <si>
    <t>673.01 - 674</t>
  </si>
  <si>
    <t>674.01 - 675</t>
  </si>
  <si>
    <t>675.01 - 676</t>
  </si>
  <si>
    <t>676.01 - 677</t>
  </si>
  <si>
    <t>677.01 - 678</t>
  </si>
  <si>
    <t>678.01 - 679</t>
  </si>
  <si>
    <t>679.01 - 680</t>
  </si>
  <si>
    <t>680.01 - 681</t>
  </si>
  <si>
    <t>681.01 - 682</t>
  </si>
  <si>
    <t>682.01 - 683</t>
  </si>
  <si>
    <t>683.01 - 684</t>
  </si>
  <si>
    <t>684.01 - 685</t>
  </si>
  <si>
    <t>685.01 - 686</t>
  </si>
  <si>
    <t>686.01 - 687</t>
  </si>
  <si>
    <t>687.01 - 688</t>
  </si>
  <si>
    <t>688.01 - 689</t>
  </si>
  <si>
    <t>689.01 - 690</t>
  </si>
  <si>
    <t>690.01 - 691</t>
  </si>
  <si>
    <t>691.01 - 692</t>
  </si>
  <si>
    <t>692.01 - 693</t>
  </si>
  <si>
    <t>693.01 - 694</t>
  </si>
  <si>
    <t>694.01 - 695</t>
  </si>
  <si>
    <t>695.01 - 696</t>
  </si>
  <si>
    <t>696.01 - 697</t>
  </si>
  <si>
    <t>697.01 - 698</t>
  </si>
  <si>
    <t>698.01 - 699</t>
  </si>
  <si>
    <t>699.01 - 700</t>
  </si>
  <si>
    <t>700.01 - 701</t>
  </si>
  <si>
    <t>701.01 - 702</t>
  </si>
  <si>
    <t>702.01 - 703</t>
  </si>
  <si>
    <t>703.01 - 704</t>
  </si>
  <si>
    <t>704.01 - 705</t>
  </si>
  <si>
    <t>705.01 - 706</t>
  </si>
  <si>
    <t>706.01 - 707</t>
  </si>
  <si>
    <t>707.01 - 708</t>
  </si>
  <si>
    <t>708.01 - 709</t>
  </si>
  <si>
    <t>709.01 - 710</t>
  </si>
  <si>
    <t>710.01 - 711</t>
  </si>
  <si>
    <t>711.01 - 712</t>
  </si>
  <si>
    <t>712.01 - 713</t>
  </si>
  <si>
    <t>713.01 - 714</t>
  </si>
  <si>
    <t>714.01 - 715</t>
  </si>
  <si>
    <t>715.01 - 716</t>
  </si>
  <si>
    <t>716.01 - 717</t>
  </si>
  <si>
    <t>717.01 - 718</t>
  </si>
  <si>
    <t>718.01 - 719</t>
  </si>
  <si>
    <t>719.01 - 720</t>
  </si>
  <si>
    <t>720.01 - 721</t>
  </si>
  <si>
    <t>721.01 - 722</t>
  </si>
  <si>
    <t>722.01 - 723</t>
  </si>
  <si>
    <t>723.01 - 724</t>
  </si>
  <si>
    <t>724.01 - 725</t>
  </si>
  <si>
    <t>725.01 - 726</t>
  </si>
  <si>
    <t>726.01 - 727</t>
  </si>
  <si>
    <t>727.01 - 728</t>
  </si>
  <si>
    <t>728.01 - 729</t>
  </si>
  <si>
    <t>729.01 - 730</t>
  </si>
  <si>
    <t>730.01 - 731</t>
  </si>
  <si>
    <t>731.01 - 732</t>
  </si>
  <si>
    <t>732.01 - 733</t>
  </si>
  <si>
    <t>733.01 - 734</t>
  </si>
  <si>
    <t>734.01 - 735</t>
  </si>
  <si>
    <t>735.01 - 736</t>
  </si>
  <si>
    <t>736.01 - 737</t>
  </si>
  <si>
    <t>737.01 - 738</t>
  </si>
  <si>
    <t>738.01 - 739</t>
  </si>
  <si>
    <t>739.01 - 740</t>
  </si>
  <si>
    <t>740.01 - 741</t>
  </si>
  <si>
    <t>741.01 - 742</t>
  </si>
  <si>
    <t>742.01 - 743</t>
  </si>
  <si>
    <t>743.01 - 744</t>
  </si>
  <si>
    <t>744.01 - 745</t>
  </si>
  <si>
    <t>745.01 - 746</t>
  </si>
  <si>
    <t>746.01 - 747</t>
  </si>
  <si>
    <t>747.01 - 748</t>
  </si>
  <si>
    <t>748.01 - 749</t>
  </si>
  <si>
    <t>749.01 - 750</t>
  </si>
  <si>
    <t>750.01 - 751</t>
  </si>
  <si>
    <t>751.01 - 752</t>
  </si>
  <si>
    <t>752.01 - 753</t>
  </si>
  <si>
    <t>753.01 - 754</t>
  </si>
  <si>
    <t>754.01 - 755</t>
  </si>
  <si>
    <t>755.01 - 756</t>
  </si>
  <si>
    <t>756.01 - 757</t>
  </si>
  <si>
    <t>757.01 - 758</t>
  </si>
  <si>
    <t>758.01 - 759</t>
  </si>
  <si>
    <t>759.01 - 760</t>
  </si>
  <si>
    <t>760.01 - 761</t>
  </si>
  <si>
    <t>761.01 - 762</t>
  </si>
  <si>
    <t>762.01 - 763</t>
  </si>
  <si>
    <t>763.01 - 764</t>
  </si>
  <si>
    <t>764.01 - 765</t>
  </si>
  <si>
    <t>765.01 - 766</t>
  </si>
  <si>
    <t>766.01 - 767</t>
  </si>
  <si>
    <t>767.01 - 768</t>
  </si>
  <si>
    <t>768.01 - 769</t>
  </si>
  <si>
    <t>769.01 - 770</t>
  </si>
  <si>
    <t>770.01 - 771</t>
  </si>
  <si>
    <t>771.01 - 772</t>
  </si>
  <si>
    <t>772.01 - 773</t>
  </si>
  <si>
    <t>773.01 - 774</t>
  </si>
  <si>
    <t>774.01 - 775</t>
  </si>
  <si>
    <t>775.01 - 776</t>
  </si>
  <si>
    <t>776.01 - 777</t>
  </si>
  <si>
    <t>777.01 - 778</t>
  </si>
  <si>
    <t>778.01 - 779</t>
  </si>
  <si>
    <t>779.01 - 780</t>
  </si>
  <si>
    <t>780.01 - 781</t>
  </si>
  <si>
    <t>781.01 - 782</t>
  </si>
  <si>
    <t>782.01 - 783</t>
  </si>
  <si>
    <t>783.01 - 784</t>
  </si>
  <si>
    <t>784.01 - 785</t>
  </si>
  <si>
    <t>785.01 - 786</t>
  </si>
  <si>
    <t>786.01 - 787</t>
  </si>
  <si>
    <t>787.01 - 788</t>
  </si>
  <si>
    <t>788.01 - 789</t>
  </si>
  <si>
    <t>789.01 - 790</t>
  </si>
  <si>
    <t>790.01 - 791</t>
  </si>
  <si>
    <t>791.01 - 792</t>
  </si>
  <si>
    <t>792.01 - 793</t>
  </si>
  <si>
    <t>793.01 - 794</t>
  </si>
  <si>
    <t>794.01 - 795</t>
  </si>
  <si>
    <t>795.01 - 796</t>
  </si>
  <si>
    <t>796.01 - 797</t>
  </si>
  <si>
    <t>797.01 - 798</t>
  </si>
  <si>
    <t>798.01 - 799</t>
  </si>
  <si>
    <t>799.01 - 800</t>
  </si>
  <si>
    <t>800.01 - 801</t>
  </si>
  <si>
    <t>801.01 - 802</t>
  </si>
  <si>
    <t>802.01 - 803</t>
  </si>
  <si>
    <t>803.01 - 804</t>
  </si>
  <si>
    <t>804.01 - 805</t>
  </si>
  <si>
    <t>805.01 - 806</t>
  </si>
  <si>
    <t>806.01 - 807</t>
  </si>
  <si>
    <t>807.01 - 808</t>
  </si>
  <si>
    <t>808.01 - 809</t>
  </si>
  <si>
    <t>809.01 - 810</t>
  </si>
  <si>
    <t>810.01 - 811</t>
  </si>
  <si>
    <t>811.01 - 812</t>
  </si>
  <si>
    <t>812.01 - 813</t>
  </si>
  <si>
    <t>813.01 - 814</t>
  </si>
  <si>
    <t>814.01 - 815</t>
  </si>
  <si>
    <t>815.01 - 816</t>
  </si>
  <si>
    <t>816.01 - 817</t>
  </si>
  <si>
    <t>817.01 - 818</t>
  </si>
  <si>
    <t>818.01 - 819</t>
  </si>
  <si>
    <t>819.01 - 820</t>
  </si>
  <si>
    <t>820.01 - 821</t>
  </si>
  <si>
    <t>821.01 - 822</t>
  </si>
  <si>
    <t>822.01 - 823</t>
  </si>
  <si>
    <t>823.01 - 824</t>
  </si>
  <si>
    <t>824.01 - 825</t>
  </si>
  <si>
    <t>825.01 - 826</t>
  </si>
  <si>
    <t>826.01 - 827</t>
  </si>
  <si>
    <t>827.01 - 828</t>
  </si>
  <si>
    <t>828.01 - 829</t>
  </si>
  <si>
    <t>829.01 - 830</t>
  </si>
  <si>
    <t>830.01 - 831</t>
  </si>
  <si>
    <t>831.01 - 832</t>
  </si>
  <si>
    <t>832.01 - 833</t>
  </si>
  <si>
    <t>833.01 - 834</t>
  </si>
  <si>
    <t>834.01 - 835</t>
  </si>
  <si>
    <t>835.01 - 836</t>
  </si>
  <si>
    <t>836.01 - 837</t>
  </si>
  <si>
    <t>837.01 - 838</t>
  </si>
  <si>
    <t>838.01 - 839</t>
  </si>
  <si>
    <t>839.01 - 840</t>
  </si>
  <si>
    <t>840.01 - 841</t>
  </si>
  <si>
    <t>841.01 - 842</t>
  </si>
  <si>
    <t>842.01 - 843</t>
  </si>
  <si>
    <t>843.01 - 844</t>
  </si>
  <si>
    <t>844.01 - 845</t>
  </si>
  <si>
    <t>845.01 - 846</t>
  </si>
  <si>
    <t>846.01 - 847</t>
  </si>
  <si>
    <t>847.01 - 848</t>
  </si>
  <si>
    <t>848.01 - 849</t>
  </si>
  <si>
    <t>849.01 - 850</t>
  </si>
  <si>
    <t>850.01 - 851</t>
  </si>
  <si>
    <t>851.01 - 852</t>
  </si>
  <si>
    <t>852.01 - 853</t>
  </si>
  <si>
    <t>853.01 - 854</t>
  </si>
  <si>
    <t>854.01 - 855</t>
  </si>
  <si>
    <t>855.01 - 856</t>
  </si>
  <si>
    <t>856.01 - 857</t>
  </si>
  <si>
    <t>857.01 - 858</t>
  </si>
  <si>
    <t>858.01 - 859</t>
  </si>
  <si>
    <t>859.01 - 860</t>
  </si>
  <si>
    <t>860.01 - 861</t>
  </si>
  <si>
    <t>861.01 - 862</t>
  </si>
  <si>
    <t>862.01 - 863</t>
  </si>
  <si>
    <t>863.01 - 864</t>
  </si>
  <si>
    <t>864.01 - 865</t>
  </si>
  <si>
    <t>865.01 - 866</t>
  </si>
  <si>
    <t>866.01 - 867</t>
  </si>
  <si>
    <t>867.01 - 868</t>
  </si>
  <si>
    <t>868.01 - 869</t>
  </si>
  <si>
    <t>869.01 - 870</t>
  </si>
  <si>
    <t>870.01 - 871</t>
  </si>
  <si>
    <t>871.01 - 872</t>
  </si>
  <si>
    <t>872.01 - 873</t>
  </si>
  <si>
    <t>873.01 - 874</t>
  </si>
  <si>
    <t>874.01 - 875</t>
  </si>
  <si>
    <t>875.01 - 876</t>
  </si>
  <si>
    <t>876.01 - 877</t>
  </si>
  <si>
    <t>877.01 - 878</t>
  </si>
  <si>
    <t>878.01 - 879</t>
  </si>
  <si>
    <t>879.01 - 880</t>
  </si>
  <si>
    <t>880.01 - 881</t>
  </si>
  <si>
    <t>881.01 - 882</t>
  </si>
  <si>
    <t>882.01 - 883</t>
  </si>
  <si>
    <t>883.01 - 884</t>
  </si>
  <si>
    <t>884.01 - 885</t>
  </si>
  <si>
    <t>885.01 - 886</t>
  </si>
  <si>
    <t>886.01 - 887</t>
  </si>
  <si>
    <t>887.01 - 888</t>
  </si>
  <si>
    <t>888.01 - 889</t>
  </si>
  <si>
    <t>889.01 - 890</t>
  </si>
  <si>
    <t>890.01 - 891</t>
  </si>
  <si>
    <t>891.01 - 892</t>
  </si>
  <si>
    <t>892.01 - 893</t>
  </si>
  <si>
    <t>893.01 - 894</t>
  </si>
  <si>
    <t>894.01 - 895</t>
  </si>
  <si>
    <t>895.01 - 896</t>
  </si>
  <si>
    <t>896.01 - 897</t>
  </si>
  <si>
    <t>897.01 - 898</t>
  </si>
  <si>
    <t>898.01 - 899</t>
  </si>
  <si>
    <t>899.01 - 900</t>
  </si>
  <si>
    <t>900.01 - 901</t>
  </si>
  <si>
    <t>901.01 - 902</t>
  </si>
  <si>
    <t>902.01 - 903</t>
  </si>
  <si>
    <t>903.01 - 904</t>
  </si>
  <si>
    <t>904.01 - 905</t>
  </si>
  <si>
    <t>905.01 - 906</t>
  </si>
  <si>
    <t>906.01 - 907</t>
  </si>
  <si>
    <t>907.01 - 908</t>
  </si>
  <si>
    <t>908.01 - 909</t>
  </si>
  <si>
    <t>909.01 - 910</t>
  </si>
  <si>
    <t>910.01 - 911</t>
  </si>
  <si>
    <t>911.01 - 912</t>
  </si>
  <si>
    <t>912.01 - 913</t>
  </si>
  <si>
    <t>913.01 - 914</t>
  </si>
  <si>
    <t>914.01 - 915</t>
  </si>
  <si>
    <t>915.01 - 916</t>
  </si>
  <si>
    <t>916.01 - 917</t>
  </si>
  <si>
    <t>917.01 - 918</t>
  </si>
  <si>
    <t>918.01 - 919</t>
  </si>
  <si>
    <t>919.01 - 920</t>
  </si>
  <si>
    <t>920.01 - 921</t>
  </si>
  <si>
    <t>921.01 - 922</t>
  </si>
  <si>
    <t>922.01 - 923</t>
  </si>
  <si>
    <t>923.01 - 924</t>
  </si>
  <si>
    <t>924.01 - 925</t>
  </si>
  <si>
    <t>925.01 - 926</t>
  </si>
  <si>
    <t>926.01 - 927</t>
  </si>
  <si>
    <t>927.01 - 928</t>
  </si>
  <si>
    <t>928.01 - 929</t>
  </si>
  <si>
    <t>929.01 - 930</t>
  </si>
  <si>
    <t>930.01 - 931</t>
  </si>
  <si>
    <t>931.01 - 932</t>
  </si>
  <si>
    <t>932.01 - 933</t>
  </si>
  <si>
    <t>933.01 - 934</t>
  </si>
  <si>
    <t>934.01 - 935</t>
  </si>
  <si>
    <t>935.01 - 936</t>
  </si>
  <si>
    <t>936.01 - 937</t>
  </si>
  <si>
    <t>937.01 - 938</t>
  </si>
  <si>
    <t>938.01 - 939</t>
  </si>
  <si>
    <t>939.01 - 940</t>
  </si>
  <si>
    <t>940.01 - 941</t>
  </si>
  <si>
    <t>941.01 - 942</t>
  </si>
  <si>
    <t>942.01 - 943</t>
  </si>
  <si>
    <t>943.01 - 944</t>
  </si>
  <si>
    <t>944.01 - 945</t>
  </si>
  <si>
    <t>945.01 - 946</t>
  </si>
  <si>
    <t>946.01 - 947</t>
  </si>
  <si>
    <t>947.01 - 948</t>
  </si>
  <si>
    <t>948.01 - 949</t>
  </si>
  <si>
    <t>949.01 - 950</t>
  </si>
  <si>
    <t>950.01 - 951</t>
  </si>
  <si>
    <t>951.01 - 952</t>
  </si>
  <si>
    <t>952.01 - 953</t>
  </si>
  <si>
    <t>953.01 - 954</t>
  </si>
  <si>
    <t>954.01 - 955</t>
  </si>
  <si>
    <t>955.01 - 956</t>
  </si>
  <si>
    <t>956.01 - 957</t>
  </si>
  <si>
    <t>957.01 - 958</t>
  </si>
  <si>
    <t>958.01 - 959</t>
  </si>
  <si>
    <t>959.01 - 960</t>
  </si>
  <si>
    <t>960.01 - 961</t>
  </si>
  <si>
    <t>961.01 - 962</t>
  </si>
  <si>
    <t>962.01 - 963</t>
  </si>
  <si>
    <t>963.01 - 964</t>
  </si>
  <si>
    <t>964.01 - 965</t>
  </si>
  <si>
    <t>965.01 - 966</t>
  </si>
  <si>
    <t>966.01 - 967</t>
  </si>
  <si>
    <t>967.01 - 968</t>
  </si>
  <si>
    <t>968.01 - 969</t>
  </si>
  <si>
    <t>969.01 - 970</t>
  </si>
  <si>
    <t>970.01 - 971</t>
  </si>
  <si>
    <t>971.01 - 972</t>
  </si>
  <si>
    <t>972.01 - 973</t>
  </si>
  <si>
    <t>973.01 - 974</t>
  </si>
  <si>
    <t>974.01 - 975</t>
  </si>
  <si>
    <t>975.01 - 976</t>
  </si>
  <si>
    <t>976.01 - 977</t>
  </si>
  <si>
    <t>977.01 - 978</t>
  </si>
  <si>
    <t>978.01 - 979</t>
  </si>
  <si>
    <t>979.01 - 980</t>
  </si>
  <si>
    <t>980.01 - 981</t>
  </si>
  <si>
    <t>981.01 - 982</t>
  </si>
  <si>
    <t>982.01 - 983</t>
  </si>
  <si>
    <t>983.01 - 984</t>
  </si>
  <si>
    <t>984.01 - 985</t>
  </si>
  <si>
    <t>985.01 - 986</t>
  </si>
  <si>
    <t>986.01 - 987</t>
  </si>
  <si>
    <t>987.01 - 988</t>
  </si>
  <si>
    <t>988.01 - 989</t>
  </si>
  <si>
    <t>989.01 - 990</t>
  </si>
  <si>
    <t>990.01 - 991</t>
  </si>
  <si>
    <t>991.01 - 992</t>
  </si>
  <si>
    <t>992.01 - 993</t>
  </si>
  <si>
    <t>993.01 - 994</t>
  </si>
  <si>
    <t>994.01 - 995</t>
  </si>
  <si>
    <t>995.01 - 996</t>
  </si>
  <si>
    <t>996.01 - 997</t>
  </si>
  <si>
    <t>997.01 - 998</t>
  </si>
  <si>
    <t>998.01 - 999</t>
  </si>
  <si>
    <t>999.01 - 1000</t>
  </si>
  <si>
    <r>
      <t xml:space="preserve">Стеллаж металлический 195х100х40 см, 6 полок
</t>
    </r>
    <r>
      <rPr>
        <i/>
        <sz val="14"/>
        <color rgb="FF242424"/>
        <rFont val="Arial"/>
        <family val="2"/>
        <charset val="204"/>
      </rPr>
      <t>арт. 1012266977</t>
    </r>
  </si>
  <si>
    <r>
      <t xml:space="preserve">Мебель для бизнеса и дома Стеллаж, 100х40х200 см
</t>
    </r>
    <r>
      <rPr>
        <i/>
        <sz val="14"/>
        <color rgb="FF242424"/>
        <rFont val="Arial"/>
        <family val="2"/>
        <charset val="204"/>
      </rPr>
      <t>арт. 256132309</t>
    </r>
  </si>
  <si>
    <r>
      <t xml:space="preserve">Стеллаж металлический усиленный MS Strong 2000x1000x400/6
</t>
    </r>
    <r>
      <rPr>
        <i/>
        <sz val="14"/>
        <color rgb="FF242424"/>
        <rFont val="Arial"/>
        <family val="2"/>
        <charset val="204"/>
      </rPr>
      <t>арт. 1595531063</t>
    </r>
  </si>
  <si>
    <r>
      <t xml:space="preserve">Металлический стеллаж МС-500 1800x1000x400/6 полок
</t>
    </r>
    <r>
      <rPr>
        <i/>
        <sz val="14"/>
        <color rgb="FF070707"/>
        <rFont val="Arial"/>
        <family val="2"/>
        <charset val="204"/>
      </rPr>
      <t>арт. 840928937</t>
    </r>
  </si>
  <si>
    <r>
      <t xml:space="preserve">Металлический стеллаж Практик 195х100х40 см, 6 полок, серый.
</t>
    </r>
    <r>
      <rPr>
        <i/>
        <sz val="14"/>
        <color rgb="FF242424"/>
        <rFont val="Arial"/>
        <family val="2"/>
        <charset val="204"/>
      </rPr>
      <t>арт. 523544404</t>
    </r>
  </si>
  <si>
    <r>
      <t xml:space="preserve">Церера-Мебель Стеллаж, 100х40х200 см, 6п.
</t>
    </r>
    <r>
      <rPr>
        <i/>
        <sz val="14"/>
        <color rgb="FF242424"/>
        <rFont val="Arial"/>
        <family val="2"/>
        <charset val="204"/>
      </rPr>
      <t>арт. 888213183
нов. 7 296</t>
    </r>
  </si>
  <si>
    <r>
      <t xml:space="preserve">Стеллаж металлический 195х100х50 см, 4 полки
</t>
    </r>
    <r>
      <rPr>
        <i/>
        <sz val="14"/>
        <color theme="1"/>
        <rFont val="Arial"/>
        <family val="2"/>
        <charset val="204"/>
      </rPr>
      <t>арт. 1058271817</t>
    </r>
  </si>
  <si>
    <r>
      <t xml:space="preserve">Мебель для бизнеса и дома Стеллаж, 100х50х200 см
</t>
    </r>
    <r>
      <rPr>
        <i/>
        <sz val="14"/>
        <color rgb="FF242424"/>
        <rFont val="Arial"/>
        <family val="2"/>
        <charset val="204"/>
      </rPr>
      <t>арт. 256132554</t>
    </r>
  </si>
  <si>
    <r>
      <t xml:space="preserve">Стеллаж металлический усиленный MS Strong 2000x1000x500/4
</t>
    </r>
    <r>
      <rPr>
        <i/>
        <sz val="14"/>
        <color rgb="FF242424"/>
        <rFont val="Arial"/>
        <family val="2"/>
        <charset val="204"/>
      </rPr>
      <t>арт. 1591399164</t>
    </r>
  </si>
  <si>
    <r>
      <t xml:space="preserve">Стеллаж металлический "МС-254Р" (2000х1000х500мм) (4 полки) (до 150кг на полку, до 750кг на стеллаж)
арт. </t>
    </r>
    <r>
      <rPr>
        <i/>
        <sz val="14"/>
        <color theme="1"/>
        <rFont val="Arial"/>
        <family val="2"/>
        <charset val="204"/>
      </rPr>
      <t>240961480</t>
    </r>
  </si>
  <si>
    <r>
      <t xml:space="preserve">Металлический стеллаж Практик 195х100х50 см, 4 полки, серый.
</t>
    </r>
    <r>
      <rPr>
        <i/>
        <sz val="14"/>
        <color rgb="FF070707"/>
        <rFont val="Arial"/>
        <family val="2"/>
        <charset val="204"/>
      </rPr>
      <t>арт. 523544010</t>
    </r>
  </si>
  <si>
    <r>
      <t xml:space="preserve">Церера-Мебель Стеллаж, 100х50х200 см, 4 п.
</t>
    </r>
    <r>
      <rPr>
        <i/>
        <sz val="14"/>
        <color rgb="FF242424"/>
        <rFont val="Arial"/>
        <family val="2"/>
        <charset val="204"/>
      </rPr>
      <t>арт. 258473499
6 050</t>
    </r>
  </si>
  <si>
    <r>
      <t xml:space="preserve">Стеллаж металлический 195х100х40 см, 4 полки
</t>
    </r>
    <r>
      <rPr>
        <i/>
        <sz val="14"/>
        <color theme="1"/>
        <rFont val="Arial"/>
        <family val="2"/>
        <charset val="204"/>
      </rPr>
      <t>арт. 976570526</t>
    </r>
  </si>
  <si>
    <r>
      <t xml:space="preserve">Мебель для бизнеса и дома Стеллаж, 100х40х200 см
</t>
    </r>
    <r>
      <rPr>
        <i/>
        <sz val="14"/>
        <color theme="1"/>
        <rFont val="Arial"/>
        <family val="2"/>
        <charset val="204"/>
      </rPr>
      <t>арт. 256777948</t>
    </r>
  </si>
  <si>
    <r>
      <t xml:space="preserve">Стеллаж металлический усиленный MS Strong 2000x1000x400/4 полки
арт. </t>
    </r>
    <r>
      <rPr>
        <i/>
        <sz val="14"/>
        <color rgb="FF070707"/>
        <rFont val="Arial"/>
        <family val="2"/>
        <charset val="204"/>
      </rPr>
      <t>1591399154</t>
    </r>
  </si>
  <si>
    <r>
      <t xml:space="preserve">Стеллаж металлический "МС-244Р" (2000х1000х400мм) (4 полки) (до 150кг на полку, до 750кг на стеллаж)
</t>
    </r>
    <r>
      <rPr>
        <i/>
        <sz val="14"/>
        <color theme="1"/>
        <rFont val="Arial"/>
        <family val="2"/>
        <charset val="204"/>
      </rPr>
      <t>арт. 239506639</t>
    </r>
  </si>
  <si>
    <r>
      <t xml:space="preserve">Металлический стеллаж Практик 195х100х40 см, 4 полки, серый.
</t>
    </r>
    <r>
      <rPr>
        <i/>
        <sz val="14"/>
        <color rgb="FF242424"/>
        <rFont val="Arial"/>
        <family val="2"/>
        <charset val="204"/>
      </rPr>
      <t>арт. 278493974</t>
    </r>
  </si>
  <si>
    <r>
      <t xml:space="preserve">Церера-Мебель Стеллаж, 100х40х200 см, 4 п.
</t>
    </r>
    <r>
      <rPr>
        <i/>
        <sz val="14"/>
        <color rgb="FF242424"/>
        <rFont val="Arial"/>
        <family val="2"/>
        <charset val="204"/>
      </rPr>
      <t>арт. 258467589
5 358</t>
    </r>
  </si>
  <si>
    <t>Разница</t>
  </si>
  <si>
    <t>Нагрузка на полку</t>
  </si>
  <si>
    <t>Стоимость 
без Ozon Карты</t>
  </si>
  <si>
    <t>Название позиции</t>
  </si>
  <si>
    <t>Стоимость 
без Ozon Карты
(без акций)</t>
  </si>
  <si>
    <t>Ср. знач</t>
  </si>
  <si>
    <r>
      <rPr>
        <b/>
        <sz val="14"/>
        <color theme="1"/>
        <rFont val="Arial"/>
        <family val="2"/>
        <charset val="204"/>
      </rPr>
      <t>Стальной Мир</t>
    </r>
    <r>
      <rPr>
        <sz val="14"/>
        <color theme="1"/>
        <rFont val="Arial"/>
        <family val="2"/>
        <charset val="204"/>
      </rPr>
      <t xml:space="preserve">
г. Москва</t>
    </r>
  </si>
  <si>
    <t>Мебель для бизнеса и дома
г. Ростов-на-Дону</t>
  </si>
  <si>
    <r>
      <t xml:space="preserve">ПРАКТИК GetMet
</t>
    </r>
    <r>
      <rPr>
        <sz val="14"/>
        <color theme="1"/>
        <rFont val="Arial"/>
        <family val="2"/>
        <charset val="204"/>
      </rPr>
      <t>г. Москва</t>
    </r>
  </si>
  <si>
    <t>ПАКС-Металл (РегионМебель, GetMet)</t>
  </si>
  <si>
    <t>ПРАКТИК</t>
  </si>
  <si>
    <t>Церера-Мебель</t>
  </si>
  <si>
    <t>Ozon</t>
  </si>
  <si>
    <t>ПАКС-металл Почтовый ящик 8 секц. 860 мм x 385 мм x 195 мм, серый
595007368</t>
  </si>
  <si>
    <t xml:space="preserve">ОПТИМА ЛЮКС почтовый ящик на 7 секций, с задней стенкой. 800 мм x 340 мм x 140 мм, светло-серый
</t>
  </si>
  <si>
    <t>Почтовый ящик СПРУ-8 на 8 секции, размер 942x383x96 мм., светло-серый, замки в комплекте
1916745227</t>
  </si>
  <si>
    <r>
      <t xml:space="preserve">Церера-Мебель Почтовый ящик 8 секц. 812 мм x 377 мм x 190 мм, светло-серый
</t>
    </r>
    <r>
      <rPr>
        <i/>
        <sz val="14"/>
        <color rgb="FF242424"/>
        <rFont val="Arial"/>
        <family val="2"/>
        <charset val="204"/>
      </rPr>
      <t>арт. 631946118</t>
    </r>
    <r>
      <rPr>
        <i/>
        <sz val="14"/>
        <color rgb="FF242424"/>
        <rFont val="Arial"/>
        <family val="2"/>
        <charset val="204"/>
      </rPr>
      <t xml:space="preserve">
</t>
    </r>
  </si>
  <si>
    <t>ОПТИМА ЛЮКС почтовый ящик на 6 секций, с задней стенкой.
1655540120</t>
  </si>
  <si>
    <t>Почтовый ящик СПРУ-6 на 6 секции, размер 742x383x96 мм., светло-серый, замки в комплекте
1916745096</t>
  </si>
  <si>
    <r>
      <t xml:space="preserve">Церера-Мебель Почтовый ящик 6 секц. 643 мм x 377 мм x 190 мм, светло-серый
</t>
    </r>
    <r>
      <rPr>
        <i/>
        <sz val="14"/>
        <color rgb="FF242424"/>
        <rFont val="Arial"/>
        <family val="2"/>
        <charset val="204"/>
      </rPr>
      <t xml:space="preserve">арт. 631949713
</t>
    </r>
    <r>
      <rPr>
        <b/>
        <i/>
        <sz val="14"/>
        <color rgb="FF242424"/>
        <rFont val="Arial"/>
        <family val="2"/>
        <charset val="204"/>
      </rPr>
      <t/>
    </r>
  </si>
  <si>
    <t>ОПТИМА ЛЮКС почтовый ящик на 5 секций, с задней стенкой
610x140
1673111906</t>
  </si>
  <si>
    <t>Почтовый ящик СПР-5 на 5 секции, размер 642x383x186 мм., светло-серый с задней стенкой
2371723244</t>
  </si>
  <si>
    <r>
      <t xml:space="preserve">Церера-Мебель Почтовый ящик 5 секц. 559 мм x 377 мм x 190 мм, светло-серый
</t>
    </r>
    <r>
      <rPr>
        <i/>
        <sz val="14"/>
        <color rgb="FF242424"/>
        <rFont val="Arial"/>
        <family val="2"/>
        <charset val="204"/>
      </rPr>
      <t>арт. 631939684</t>
    </r>
    <r>
      <rPr>
        <b/>
        <i/>
        <sz val="14"/>
        <color rgb="FF242424"/>
        <rFont val="Arial"/>
        <family val="2"/>
        <charset val="204"/>
      </rPr>
      <t/>
    </r>
  </si>
  <si>
    <t>ПАКС-металл Почтовый ящик 4 секц. 500 мм x 385 мм x 195 мм, серый
594991331</t>
  </si>
  <si>
    <t xml:space="preserve">Почтовый ящик "Оптима люкс" на 4 секции с задней стенкой
515x140
1644899208
</t>
  </si>
  <si>
    <t>Почтовый ящик СПР-4 на 4 секции, размер 542x383x186 мм., светло-серый
2371633866</t>
  </si>
  <si>
    <r>
      <t xml:space="preserve">Церера-Мебель Почтовый ящик 4 секц. 474 мм x 377 мм x 190 мм, светло-серый
</t>
    </r>
    <r>
      <rPr>
        <i/>
        <sz val="14"/>
        <color rgb="FF242424"/>
        <rFont val="Arial"/>
        <family val="2"/>
        <charset val="204"/>
      </rPr>
      <t xml:space="preserve">арт. 632063202
</t>
    </r>
    <r>
      <rPr>
        <b/>
        <i/>
        <sz val="14"/>
        <color rgb="FF242424"/>
        <rFont val="Arial"/>
        <family val="2"/>
        <charset val="204"/>
      </rPr>
      <t/>
    </r>
  </si>
  <si>
    <t>Ср. значение</t>
  </si>
  <si>
    <t>Пакс-Металл</t>
  </si>
  <si>
    <t>СТАЛЬНЫЕ РЕШЕНИЯ порядок во всем</t>
  </si>
  <si>
    <t>Stalkersafe</t>
  </si>
  <si>
    <t>Металлическая ключница КЛ-100 / комплект с брелками
728824973</t>
  </si>
  <si>
    <t>Шкаф для ключей (ключница) Aiko KEY-100
644336558</t>
  </si>
  <si>
    <t>Ключница настенная металлическая КЛ 100 с брелками
576979649</t>
  </si>
  <si>
    <t>Церера-Мебель Ключница настенная с 148 крюч., 1 шт</t>
  </si>
  <si>
    <t>Металлическая ключница КЛ-60 / комплект 60 брелками
653028565</t>
  </si>
  <si>
    <t>Шкаф для ключей (ключница) Aiko KEY-60
644333958</t>
  </si>
  <si>
    <t>Ключница настенная металлическая КЛ 60 с брелками
576978763</t>
  </si>
  <si>
    <t>Церера-Мебель Ключница настенная с 60 крюч., 1 шт</t>
  </si>
  <si>
    <t>Металлическая ключница КЛ-40 / комплект с брелками
653924752</t>
  </si>
  <si>
    <t>Шкаф для ключей (ключница) Aiko KEY-40
644344940</t>
  </si>
  <si>
    <t>Ключница настенная металлическая КЛ 40 с брелками
576980267</t>
  </si>
  <si>
    <t>Церера-Мебель Ключница настенная с 40 крюч., 1 шт</t>
  </si>
  <si>
    <t>Металлическая ключница КЛ-20 / комплект с 20 брелками
1249246622</t>
  </si>
  <si>
    <t>Шкаф для ключей (ключница) Aiko KEY-20
644365412</t>
  </si>
  <si>
    <t>Ключница настенная металлическая КЛ 20 с брелками
573445457</t>
  </si>
  <si>
    <t>Церера-Мебель Ключница настенная с 20 крюч., 1 шт</t>
  </si>
  <si>
    <t xml:space="preserve">Altezza Trade
АНКОНА
</t>
  </si>
  <si>
    <t>ГИПЕРМАРКЕТ СЕЙФОВ
AIKO</t>
  </si>
  <si>
    <t>ЗАВОД РУБИН</t>
  </si>
  <si>
    <t>Шкаф сейф офисный Aiko SL 32T, шкаф бухгалтерский, металлический для хранения документов, с ключевым замком, ВхШхГ: 320х420х350 мм
419065187</t>
  </si>
  <si>
    <t>Шкаф бухгалтерский "КБС 02тн" (с трейзером) (320х420х350мм) (Ключевой замок)
356711210</t>
  </si>
  <si>
    <t>Шкаф бухгалтерский "SL-32T" (с трейзером) (320х420х350мм) (Ключевой замок)
661574766</t>
  </si>
  <si>
    <t>Сейф ШБС-мини Т
440х360х350</t>
  </si>
  <si>
    <t>Бухгалтерский шкаф-сейф AIKO SL-32 (320x460x340).
1765228214</t>
  </si>
  <si>
    <t>Шкаф бухгалтерский "КБС 02" (320х420х350мм) (Ключевой замок)
356528667</t>
  </si>
  <si>
    <t>Шкаф бухгалтерский "SL-32" (320х420х350мм) 419063729</t>
  </si>
  <si>
    <t xml:space="preserve">Сейф ШБС-мини
445х365х355
</t>
  </si>
  <si>
    <t>ООО Передовые технологии</t>
  </si>
  <si>
    <t>РегионМебель</t>
  </si>
  <si>
    <t>Аптечка настенная металлическая с замком, 4 полки. Размер 320*300*140мм
1662685252</t>
  </si>
  <si>
    <t>Аптечка металлическая настенная АМ-1 для медикаментов
1389063816</t>
  </si>
  <si>
    <t>Аптечка металлическая с замком
1586082268</t>
  </si>
  <si>
    <t>Аптечка для медикаментов металлическая, ЦЕРЕРА</t>
  </si>
  <si>
    <t>СТАЛЬНЫЕ РЕШЕНИЯ
(FERRUMFORMAT)</t>
  </si>
  <si>
    <t>Регион Мебель</t>
  </si>
  <si>
    <t>Рубин</t>
  </si>
  <si>
    <t>Сейф ШМ-50 Эл
181441970</t>
  </si>
  <si>
    <t>Шкаф мебельный Меткон ШМ-50Э, В.Ш.Г. 500х350х310
1508446736</t>
  </si>
  <si>
    <t>Сейф СМ-50Э
500х350х310</t>
  </si>
  <si>
    <t>Сейф ШМ-50
181441952</t>
  </si>
  <si>
    <t>Шкаф мебельный Меткон ШМ-50, В.Ш.Г. 500х350х310
1508447236</t>
  </si>
  <si>
    <t>Сейф СМ-50
500х350х310</t>
  </si>
  <si>
    <t>Сейф ШМ30 эл
623428062</t>
  </si>
  <si>
    <t>Сейф мебельный для денег Klesto 30E, кодовый замок, Ш38хВ30хГ30 см
230697537</t>
  </si>
  <si>
    <t>Шкаф мебельный Меткон ШМ-30Э, В.Ш.Г. 300х380х300
1508447288</t>
  </si>
  <si>
    <t>Сейф СМ-30Э
300х380х300</t>
  </si>
  <si>
    <t>Сейф ШМ30
623396553</t>
  </si>
  <si>
    <t>Сейф мебельный Klesto 30TK с ключевым ящиком внутри, Ш38хВ30хГ30 см
230844016</t>
  </si>
  <si>
    <t>Шкаф мебельный Меткон ШМ-30, В.Ш.Г. 300х380х300
1508447298</t>
  </si>
  <si>
    <t>Сейчас СМ-30
300х380х300</t>
  </si>
  <si>
    <t>Сейф ШМ25 Эл</t>
  </si>
  <si>
    <t>Сейф маленький мебельный для денег Klesto 25E, кодовый замок, Ш35xВ25xГ25 см
230697386</t>
  </si>
  <si>
    <t>Шкаф мебельный Меткон ШМ-25Э, В.Ш.Г. 250х350х250
1508448071</t>
  </si>
  <si>
    <t>Сейфы СМ-25Э
250х350х250</t>
  </si>
  <si>
    <t>Сейф ШМ 25
623399487</t>
  </si>
  <si>
    <t>Сейф маленький мебельный для денег Klesto 25K, ключевой замок, Ш35хВ25хГ25 см
230822257</t>
  </si>
  <si>
    <t>Шкаф мебельный Меткон ШМ-25, В.Ш.Г. 250х350х250
1508446474</t>
  </si>
  <si>
    <t>Сейф СМ-25
250х350х250</t>
  </si>
  <si>
    <t>Шкаф мебельный Меткон ШМ-23Э, В.Ш.Г. 229х405х335
1508446601</t>
  </si>
  <si>
    <t>Сейф СМ-23Э
229х405х335</t>
  </si>
  <si>
    <t>Шкаф мебельный Меткон ШМ-23, В.Ш.Г. 230х406х335
1508446734</t>
  </si>
  <si>
    <t>Сейф СМ-23
229х405х335</t>
  </si>
  <si>
    <t>Сейф ШМ20 Эл
621224521</t>
  </si>
  <si>
    <t>Сейф маленький мебельный для денег Klesto 20E, кодовой замок, Ш31хВ20хГ20 см
230700112</t>
  </si>
  <si>
    <t>Шкаф мебельный Меткон ШМ-20Э, В.Ш.Г. 200х310х200
1508447850</t>
  </si>
  <si>
    <t>Сейф СМ-20Э
200х310х200</t>
  </si>
  <si>
    <t>Сейф ШМ-20
621080165</t>
  </si>
  <si>
    <t>Сейф маленький мебельный для денег Klesto 20K, ключевой замок, Ш31хВ20хГ20 см
230701350</t>
  </si>
  <si>
    <t>Шкаф мебельный Меткон ШМ-20, В.Ш.Г. 200х310х200
1508446739</t>
  </si>
  <si>
    <t>Сейф СМ-20
200х310х200</t>
  </si>
  <si>
    <t>МеталлСити26</t>
  </si>
  <si>
    <t>Klesto</t>
  </si>
  <si>
    <t>Меткон (Юнион Сейф Плюс)</t>
  </si>
  <si>
    <t>Главный бухгалтер ________________</t>
  </si>
  <si>
    <t>опт</t>
  </si>
  <si>
    <t>розн</t>
  </si>
  <si>
    <t>ОТПУСКНАЯ ЦЕНА</t>
  </si>
  <si>
    <t>НДС</t>
  </si>
  <si>
    <t>Цена без НДС</t>
  </si>
  <si>
    <t>Расходы на упаковку</t>
  </si>
  <si>
    <t>8</t>
  </si>
  <si>
    <t>7</t>
  </si>
  <si>
    <t>СЕБЕСТОИМОСТЬ</t>
  </si>
  <si>
    <t>6</t>
  </si>
  <si>
    <t>Общехозяйственные расходы</t>
  </si>
  <si>
    <t>5</t>
  </si>
  <si>
    <t>Цеховая себестоимость</t>
  </si>
  <si>
    <t>4</t>
  </si>
  <si>
    <t>Общепроизводственные (накладные) расходы</t>
  </si>
  <si>
    <t>3</t>
  </si>
  <si>
    <t>Отчисления на социальные нужды Дополнительная з/п</t>
  </si>
  <si>
    <t>Отчисления на социальные нужды цеховые</t>
  </si>
  <si>
    <t>Дополнительная з/п</t>
  </si>
  <si>
    <t>Основная з/п цеховых рабочих</t>
  </si>
  <si>
    <t>2</t>
  </si>
  <si>
    <t>Итого</t>
  </si>
  <si>
    <t>Наценка на материалы</t>
  </si>
  <si>
    <t>Всего на материалы без НДС</t>
  </si>
  <si>
    <t>0,035</t>
  </si>
  <si>
    <t>кг</t>
  </si>
  <si>
    <t>Общая химия</t>
  </si>
  <si>
    <t>290</t>
  </si>
  <si>
    <t>1,424</t>
  </si>
  <si>
    <t>Лист 0,9мм</t>
  </si>
  <si>
    <t>1,804</t>
  </si>
  <si>
    <t>Лента 0,5*115</t>
  </si>
  <si>
    <t>8,116</t>
  </si>
  <si>
    <t>Лента 0,5*517</t>
  </si>
  <si>
    <t>0,54</t>
  </si>
  <si>
    <t>Лист 1,2мм</t>
  </si>
  <si>
    <t>5,752</t>
  </si>
  <si>
    <t>Лента 1,2*74,5</t>
  </si>
  <si>
    <t>70</t>
  </si>
  <si>
    <t>0,892</t>
  </si>
  <si>
    <t>ELB52I EE BUG GRIGIO 7035 GL TR св.серая</t>
  </si>
  <si>
    <t>0,496</t>
  </si>
  <si>
    <t>Рулон оцин 0,9*1250</t>
  </si>
  <si>
    <t>80</t>
  </si>
  <si>
    <t>0,002</t>
  </si>
  <si>
    <t>шт</t>
  </si>
  <si>
    <t>Этикетка 58*60 полуглянец</t>
  </si>
  <si>
    <t>1</t>
  </si>
  <si>
    <t>Подпятник пластмассовый под профилированные стойки</t>
  </si>
  <si>
    <t>Паспорт на продукцию</t>
  </si>
  <si>
    <t>0,24</t>
  </si>
  <si>
    <t>Гайка М6 оцинк.</t>
  </si>
  <si>
    <t>176</t>
  </si>
  <si>
    <t>0,491</t>
  </si>
  <si>
    <t>Болт 6*12 оцинк.</t>
  </si>
  <si>
    <t>177</t>
  </si>
  <si>
    <t>Кол-во</t>
  </si>
  <si>
    <t>Ед.изм.</t>
  </si>
  <si>
    <t>Наименование статьи затрат</t>
  </si>
  <si>
    <t>№</t>
  </si>
  <si>
    <t>Стеллаж металлический СТ-СПЭ 2000*1000*400, 4 полки (150)</t>
  </si>
  <si>
    <t>подпись</t>
  </si>
  <si>
    <t>Калькуляция</t>
  </si>
  <si>
    <t>В.А. Иванов _________</t>
  </si>
  <si>
    <t>ООО "Вика-Двина"</t>
  </si>
  <si>
    <t>генеральный директор</t>
  </si>
  <si>
    <t>УТВЕРЖДАЮ</t>
  </si>
  <si>
    <t>0,048</t>
  </si>
  <si>
    <t>2,136</t>
  </si>
  <si>
    <t>2,706</t>
  </si>
  <si>
    <t>12,174</t>
  </si>
  <si>
    <t>1,256</t>
  </si>
  <si>
    <t>0,28</t>
  </si>
  <si>
    <t>0,573</t>
  </si>
  <si>
    <t>Стеллаж металлический СТ-СПЭ 2000*1000*400, 6 полок (150)</t>
  </si>
  <si>
    <t>0,039</t>
  </si>
  <si>
    <t>1,784</t>
  </si>
  <si>
    <t>9,684</t>
  </si>
  <si>
    <t>Лента 0,5*617</t>
  </si>
  <si>
    <t>0,992</t>
  </si>
  <si>
    <t>Стеллаж металлический СТ-СПЭ 2000*1000*500, 4 полки (150)</t>
  </si>
  <si>
    <t>Петля гаражная 10*60</t>
  </si>
  <si>
    <t>м2</t>
  </si>
  <si>
    <t>Ковролин</t>
  </si>
  <si>
    <t>Углекислота</t>
  </si>
  <si>
    <t>Круг лепестковый 125*22мм</t>
  </si>
  <si>
    <t>компл</t>
  </si>
  <si>
    <t>Замок электронный сейфовый LS026</t>
  </si>
  <si>
    <t>Круг 6 L=4м</t>
  </si>
  <si>
    <t>Этикетка 100*60 полуглянец</t>
  </si>
  <si>
    <t>Стойка для платы CS-10</t>
  </si>
  <si>
    <t>Наклейка с заливной смолой 37х23мм "Cerera"</t>
  </si>
  <si>
    <t>154</t>
  </si>
  <si>
    <t>Шайба 6 цинк DIN 125</t>
  </si>
  <si>
    <t>упак</t>
  </si>
  <si>
    <t>Батарейка АА (4 шт)</t>
  </si>
  <si>
    <t>тыс. шт/1000 шт</t>
  </si>
  <si>
    <t>278</t>
  </si>
  <si>
    <t>Замок врезной САМ 8-6 (73100)</t>
  </si>
  <si>
    <t>Лист г/к 3мм</t>
  </si>
  <si>
    <t>Петля гаражная 12*80</t>
  </si>
  <si>
    <t>Краска порошковая RAL 7011 (шагрень матовая)</t>
  </si>
  <si>
    <t>Замок врезной сувальдный ЗВ8-6/03 секр. (080503)</t>
  </si>
  <si>
    <t>Шкаф ШБС-01 мини</t>
  </si>
  <si>
    <t>Шкаф ШБС-01 мини Т</t>
  </si>
  <si>
    <t>Пленка ORACAL 641-31 красный</t>
  </si>
  <si>
    <t>Петля длинная</t>
  </si>
  <si>
    <t>28</t>
  </si>
  <si>
    <t>24</t>
  </si>
  <si>
    <t>32</t>
  </si>
  <si>
    <t>40</t>
  </si>
  <si>
    <t>20</t>
  </si>
  <si>
    <t>Брелок для ключей</t>
  </si>
  <si>
    <t>Петля накладная ПН5-40 цинк. (300)</t>
  </si>
  <si>
    <t>Замок почтовый EUROLOCK (ЗП-20*18.5*180)</t>
  </si>
  <si>
    <t>12</t>
  </si>
  <si>
    <t>Планка с крючками</t>
  </si>
  <si>
    <t>если коэф меньше 1,7</t>
  </si>
  <si>
    <t>если коэф больше 1,6</t>
  </si>
  <si>
    <t>Комиссия за отгрузку+отправление в сц 20р+ доставка до пвз 25р+выдача товара 250р+обработка возврата 15р+тариф на обратную логистику+межкласстерный коэффицент+вознаграждение МП</t>
  </si>
  <si>
    <t>Категория</t>
  </si>
  <si>
    <t>Тип товара</t>
  </si>
  <si>
    <t>FBO
свыше 
1500 руб.</t>
  </si>
  <si>
    <t>FBS
свыше 
300 руб.</t>
  </si>
  <si>
    <t>Сейфы и архивные шкафы</t>
  </si>
  <si>
    <t>Шкаф архивный</t>
  </si>
  <si>
    <t>Сейф</t>
  </si>
  <si>
    <t>Мебель для бизнеса</t>
  </si>
  <si>
    <t>Мебель медицинская</t>
  </si>
  <si>
    <t>Полки и стеллажи</t>
  </si>
  <si>
    <t>Стеллаж</t>
  </si>
  <si>
    <t>Хранение вещей</t>
  </si>
  <si>
    <t>Ключница настенная</t>
  </si>
  <si>
    <t>Крепеж и фурнитура</t>
  </si>
  <si>
    <t>Почтовый ящик</t>
  </si>
  <si>
    <t>Тариф отгрузки 1,9 руб/л</t>
  </si>
  <si>
    <t>Отгрузка в СЦ</t>
  </si>
  <si>
    <t>Доставка в ПВЗ</t>
  </si>
  <si>
    <t>Цена на мп</t>
  </si>
  <si>
    <t>Вознаграждение МП процент</t>
  </si>
  <si>
    <t>Вознаграждение МП руб</t>
  </si>
  <si>
    <t>Эквайринг 1,5%</t>
  </si>
  <si>
    <r>
      <t xml:space="preserve">Общая Комиссия </t>
    </r>
    <r>
      <rPr>
        <b/>
        <sz val="12"/>
        <color theme="1"/>
        <rFont val="Calibri"/>
        <family val="2"/>
        <scheme val="minor"/>
      </rPr>
      <t>Дальние Регионы</t>
    </r>
  </si>
  <si>
    <r>
      <t xml:space="preserve">Общая Комиссия </t>
    </r>
    <r>
      <rPr>
        <b/>
        <sz val="12"/>
        <color theme="1"/>
        <rFont val="Calibri"/>
        <family val="2"/>
        <scheme val="minor"/>
      </rPr>
      <t>Ближние Регионы</t>
    </r>
  </si>
  <si>
    <t>Цена. руб</t>
  </si>
  <si>
    <t>Стоимость. руб</t>
  </si>
  <si>
    <t>Заклепка вытяжная 4.0*10 (не использовать)</t>
  </si>
  <si>
    <t>Жгут нейлон. 2.5-3*150</t>
  </si>
  <si>
    <t>Рулон х/к 0.9*1250</t>
  </si>
  <si>
    <t>Проволока СВ08 Г2С 0.8 омедн.</t>
  </si>
  <si>
    <t>Лист 1.2мм</t>
  </si>
  <si>
    <t>Лист 2.0мм</t>
  </si>
  <si>
    <t>Рулон оцин 0.9*1250</t>
  </si>
  <si>
    <t>Лента 1.2*74.5</t>
  </si>
  <si>
    <t>Лента 0.5*517</t>
  </si>
  <si>
    <t>Лента 0.5*115</t>
  </si>
  <si>
    <t>Саморезы 4.2*13 пресс-шайба острый</t>
  </si>
  <si>
    <t>Рулон оцин 0.5*1250</t>
  </si>
  <si>
    <t>Проволока СВ08 Г2С 1.0 омедн.</t>
  </si>
  <si>
    <t>Лист 1.8мм</t>
  </si>
  <si>
    <t>Замок почтовый EUROLOCK (ЗП-20*18.5*90) н/в</t>
  </si>
  <si>
    <t>Заклепка вытяжная 4.0*8</t>
  </si>
  <si>
    <t>Шайба Ф6.5</t>
  </si>
  <si>
    <t>Рулон х/к 0.5*1250</t>
  </si>
  <si>
    <t>Деталь "Втулка 12*6.5*14.5"</t>
  </si>
  <si>
    <t>Заклепка вытяжная 4.8*10</t>
  </si>
  <si>
    <t>Тариф на обратную логистику равен тарифу на логистику</t>
  </si>
  <si>
    <t>цена</t>
  </si>
  <si>
    <t>возврат 15% залож</t>
  </si>
  <si>
    <t>логистика + обратная</t>
  </si>
  <si>
    <t>Стеллаж металлический200*100*50 4п</t>
  </si>
  <si>
    <t>Стеллаж металлический200*100*40 4п</t>
  </si>
  <si>
    <t>Стеллаж металлический200*100*40 6п</t>
  </si>
  <si>
    <t>Почтовый ящик ЯП-4</t>
  </si>
  <si>
    <t>Почтовый ящик ЯП-5</t>
  </si>
  <si>
    <t>Почтовый ящик ЯП-6</t>
  </si>
  <si>
    <t>Почтовый ящик ЯП-8</t>
  </si>
  <si>
    <t xml:space="preserve">генеральный директор </t>
  </si>
  <si>
    <t>В.А. Иванов _____________</t>
  </si>
  <si>
    <t>СТ-ПЭ 20(25)</t>
  </si>
  <si>
    <t>ед. изм.</t>
  </si>
  <si>
    <t>кол-во</t>
  </si>
  <si>
    <t>цена, руб.</t>
  </si>
  <si>
    <t>стоимость, руб.</t>
  </si>
  <si>
    <t>расход г/м2</t>
  </si>
  <si>
    <t>Лента 0,9*74,5</t>
  </si>
  <si>
    <t>Рулон оц 0,9*1250</t>
  </si>
  <si>
    <t>Краска RAL 7035</t>
  </si>
  <si>
    <t>Площадь (Химия )</t>
  </si>
  <si>
    <t>шт.</t>
  </si>
  <si>
    <t xml:space="preserve">Наценка на материалы </t>
  </si>
  <si>
    <t>Итого:</t>
  </si>
  <si>
    <t>Отчисления на социальные нужды</t>
  </si>
  <si>
    <t>СЕБЕСТОИМОСТЬ:</t>
  </si>
  <si>
    <t>Полиэтилен ТУ 300*0,07</t>
  </si>
  <si>
    <t>кг.</t>
  </si>
  <si>
    <t>ОТПУСКАЯ ЦЕНА</t>
  </si>
  <si>
    <t xml:space="preserve">Главный бухгалтер  _________________ </t>
  </si>
  <si>
    <t>СТ-П10,4</t>
  </si>
  <si>
    <t>Лента 0,4*517</t>
  </si>
  <si>
    <t>Рулон х/к 0,9*1250</t>
  </si>
  <si>
    <t>Шайба Ф6,5</t>
  </si>
  <si>
    <t>Гофрокартон СТ-П 4 (40) 6</t>
  </si>
  <si>
    <t>Полиэтилен т/у полотно 1075*0,100</t>
  </si>
  <si>
    <t>Стеллаж металлический СТ-СП</t>
  </si>
  <si>
    <t>2000x1000x400, 4 150кг</t>
  </si>
  <si>
    <t>2000x1000x500, 4 150кг</t>
  </si>
  <si>
    <t>2000х1000х400, 6 150кг</t>
  </si>
  <si>
    <t xml:space="preserve">2000x1000x400, 4 </t>
  </si>
  <si>
    <t xml:space="preserve">2000x1000x500, 4 </t>
  </si>
  <si>
    <t xml:space="preserve">2000х1000х400, 6 </t>
  </si>
  <si>
    <t>Лента 0,4*617</t>
  </si>
  <si>
    <t>Гофрокартон СТ-П 5 (40) 6</t>
  </si>
  <si>
    <t>СТ-П10,5</t>
  </si>
  <si>
    <t xml:space="preserve">Фактическая себестоимость </t>
  </si>
  <si>
    <t>Стеллаж металлический СТ-СПЭ 4(4)</t>
  </si>
  <si>
    <t>Стеллаж металлический СТ-СПЭ 4(6)</t>
  </si>
  <si>
    <t>Стеллаж металлический СТ-СПЭ 5(4)</t>
  </si>
  <si>
    <t>Желаемая рент</t>
  </si>
  <si>
    <t xml:space="preserve">ШО-5 </t>
  </si>
  <si>
    <t>ШО-1</t>
  </si>
  <si>
    <t>ШО-2</t>
  </si>
  <si>
    <t>ШО-3</t>
  </si>
  <si>
    <t>ШО-4</t>
  </si>
  <si>
    <t>Д.В. Иванов _____________</t>
  </si>
  <si>
    <t xml:space="preserve"> ШО-1</t>
  </si>
  <si>
    <t xml:space="preserve">Лист 0,9 мм. </t>
  </si>
  <si>
    <t xml:space="preserve">Лист 1,8 мм. </t>
  </si>
  <si>
    <t>Краска RAL Антик (серебро)</t>
  </si>
  <si>
    <t>Химия</t>
  </si>
  <si>
    <t>Винт М6x25 потай.</t>
  </si>
  <si>
    <t>Заклепка вытяжная 3,2х8</t>
  </si>
  <si>
    <t>Заклепка М6 СТ-ЦБ с внутр. резьбой с насечкой</t>
  </si>
  <si>
    <t>Держатель для инструментов (пластик)</t>
  </si>
  <si>
    <t>Замок почтовый HS 20*180 секретный</t>
  </si>
  <si>
    <t>Гофропрокладка 2300x1380 - 0,5 шт.</t>
  </si>
  <si>
    <t xml:space="preserve"> ШО-2</t>
  </si>
  <si>
    <t>Шайба Ф6,5 (пластик)</t>
  </si>
  <si>
    <t>Гофропрокладка 2300x1380 - 1 шт.</t>
  </si>
  <si>
    <t xml:space="preserve"> ШО-3</t>
  </si>
  <si>
    <t xml:space="preserve"> ШО-4</t>
  </si>
  <si>
    <t>13,001-14 л</t>
  </si>
  <si>
    <t>Азербайджан</t>
  </si>
  <si>
    <t>Грузия</t>
  </si>
  <si>
    <t>Кыргызстан</t>
  </si>
  <si>
    <t>Узбекистан</t>
  </si>
  <si>
    <t>14,001-15 л</t>
  </si>
  <si>
    <t>20,001-25 л</t>
  </si>
  <si>
    <t>200,001-400 л</t>
  </si>
  <si>
    <t>3,001-4 л</t>
  </si>
  <si>
    <t>30,001-35 л</t>
  </si>
  <si>
    <t>35,001-40 л</t>
  </si>
  <si>
    <t>40,001-45 л</t>
  </si>
  <si>
    <t>50,001-60 л</t>
  </si>
  <si>
    <t>60,001-70 л</t>
  </si>
  <si>
    <t>70,001-80 л</t>
  </si>
  <si>
    <t>80,001-90 л</t>
  </si>
  <si>
    <t>ближ</t>
  </si>
  <si>
    <t>сред</t>
  </si>
  <si>
    <t>дальн</t>
  </si>
  <si>
    <t>серд</t>
  </si>
  <si>
    <t>логистика + обратная ближ</t>
  </si>
  <si>
    <t xml:space="preserve">логистика + обратная сред </t>
  </si>
  <si>
    <t>логистика + обратная дальн</t>
  </si>
  <si>
    <t>Цена + НДС ближ</t>
  </si>
  <si>
    <t>Цена + НДС дальн</t>
  </si>
  <si>
    <t>Цена + НДС сред</t>
  </si>
  <si>
    <t>Общая комиссия на OZON за ед. товара FBS 
(1,5% - эквайринг, обработка отправления - 30 руб,
доставка до места выдачи - 25 руб+логистика+вознаграждение OZON) БЛИЖ</t>
  </si>
  <si>
    <t>Общая комиссия на OZON за ед. товара FBS 
(1,5% - эквайринг, обработка отправления - 30 руб,
доставка до места выдачи - 25 руб+логистика+вознаграждение OZON) СРЕД</t>
  </si>
  <si>
    <t>Общая комиссия на OZON за ед. товара FBS 
(1,5% - эквайринг, обработка отправления - 30 руб,
доставка до места выдачи - 25 руб+логистика+вознаграждение OZON) ДАЛЬН</t>
  </si>
  <si>
    <t>Рекоменндованная цена ближ</t>
  </si>
  <si>
    <t>Рекоменндованная цена сред</t>
  </si>
  <si>
    <t>Рекоменндованная цена дальн</t>
  </si>
  <si>
    <t>Чистая цена после вычета комиссий БЛИЖ</t>
  </si>
  <si>
    <t>Чистая цена после вычета комиссий  СРЕД</t>
  </si>
  <si>
    <t>Чистая цена после вычета комиссий  ДАЛЬН</t>
  </si>
  <si>
    <t>Прибыль БЛИЖ</t>
  </si>
  <si>
    <t xml:space="preserve">Прибыль СРЕД </t>
  </si>
  <si>
    <t>Прибыль ДАЛЬН</t>
  </si>
  <si>
    <t>Цена на мп БЛИЖ</t>
  </si>
  <si>
    <t>Цена на мп СРЕД</t>
  </si>
  <si>
    <t>Цена на мп ДАЛЬН</t>
  </si>
  <si>
    <t>Вознаграждение МП руб СРЕД</t>
  </si>
  <si>
    <t>Вознаграждение МП руб ДАЛЬН</t>
  </si>
  <si>
    <t>Вознаграждение МП руб БЛИЖ</t>
  </si>
  <si>
    <t>Разница с нынешними БЛИЖ</t>
  </si>
  <si>
    <t>Разница с нынешними СРЕД</t>
  </si>
  <si>
    <t>Разница с нынешними ДАЛЬН</t>
  </si>
  <si>
    <t>Цена от 01.04.2026</t>
  </si>
  <si>
    <t>SKU</t>
  </si>
  <si>
    <t>Верстак 1200 0 0</t>
  </si>
  <si>
    <t>Верстак 1400 0 0</t>
  </si>
  <si>
    <t>Стеллаж СТ-СПЭ 10.3 4 п</t>
  </si>
  <si>
    <t>Стеллаж СТ-СПЭ 10.3 6 п</t>
  </si>
  <si>
    <t>Стеллаж СТ-СПЭ 10.6 4 п</t>
  </si>
  <si>
    <t>Стеллаж СТ-СПЭ 10.6 6 п</t>
  </si>
  <si>
    <t>Лента 0,4*717</t>
  </si>
  <si>
    <t>Лента 0,4*115</t>
  </si>
  <si>
    <t>Рулон х/к 0,4</t>
  </si>
  <si>
    <t>Гофрокартон СТ-П 6 (40) 6</t>
  </si>
  <si>
    <t>Лента 0,4*417</t>
  </si>
  <si>
    <t>Гофрокартон СТ-П 3 (40) 6</t>
  </si>
  <si>
    <t>Лента 0,5*417</t>
  </si>
  <si>
    <t>Полка</t>
  </si>
  <si>
    <t>Стойка</t>
  </si>
  <si>
    <t>10.3 4п</t>
  </si>
  <si>
    <t>10.3 6п</t>
  </si>
  <si>
    <t>Лента 0,9*115</t>
  </si>
  <si>
    <t xml:space="preserve">Стеллаж 10.6  </t>
  </si>
  <si>
    <t xml:space="preserve">Стеллаж 10.3  </t>
  </si>
  <si>
    <t>10.6 4п</t>
  </si>
  <si>
    <t>10.6 6п</t>
  </si>
  <si>
    <t>1035*360*100</t>
  </si>
  <si>
    <t>1035*360*140</t>
  </si>
  <si>
    <t>1035*660*100</t>
  </si>
  <si>
    <t>1035*660*140</t>
  </si>
  <si>
    <t>Гайка врезная М6</t>
  </si>
  <si>
    <t>МДФ 22 1396х697</t>
  </si>
  <si>
    <t>Лист 1,0 оцинк</t>
  </si>
  <si>
    <t>ВС-С.1400х22</t>
  </si>
  <si>
    <t>Шайба А.6. ГОСТ 11371-78</t>
  </si>
  <si>
    <t>Гайка М6 ГОСТ 5927-70</t>
  </si>
  <si>
    <t>Болт М6х12</t>
  </si>
  <si>
    <t>Рулон 0,9*1250</t>
  </si>
  <si>
    <t>ВС-ПС.1400.0 Полка-стенка</t>
  </si>
  <si>
    <t>Прокладка 1850*280</t>
  </si>
  <si>
    <t>Болт 6*40 с полукруг. головкой и усом оц.</t>
  </si>
  <si>
    <t>Саморезы 4,2*13 пресс-шайба острый</t>
  </si>
  <si>
    <t>ВС-О Опора</t>
  </si>
  <si>
    <t>ВС-ПС.1200.0 Полка-стенка</t>
  </si>
  <si>
    <t>МДФ 22 1196х697</t>
  </si>
  <si>
    <t>ВС-С.1200х22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</si>
</sst>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\ &quot;₽&quot;;[Red]\-#,##0\ &quot;₽&quot;"/>
    <numFmt numFmtId="165" formatCode="0.0%"/>
    <numFmt numFmtId="166" formatCode="0.0"/>
    <numFmt numFmtId="167" formatCode="_-* #,##0.00\ [$₽-419]_-;\-* #,##0.00\ [$₽-419]_-;_-* &quot;-&quot;??\ [$₽-419]_-;_-@_-"/>
    <numFmt numFmtId="168" formatCode="0.000"/>
    <numFmt numFmtId="169" formatCode="#,##0.00&quot;р.&quot;"/>
    <numFmt numFmtId="170" formatCode="_-* #,##0.0\ [$₽-419]_-;\-* #,##0.0\ [$₽-419]_-;_-* &quot;-&quot;??\ [$₽-419]_-;_-@_-"/>
  </numFmts>
  <fonts count="58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rgb="FF006100"/>
      <name val="Calibri"/>
      <family val="2"/>
      <charset val="204"/>
      <scheme val="minor"/>
    </font>
    <font>
      <sz val="12"/>
      <color rgb="FF9C0006"/>
      <name val="Calibri"/>
      <family val="2"/>
      <charset val="204"/>
      <scheme val="minor"/>
    </font>
    <font>
      <b/>
      <sz val="12"/>
      <color rgb="FF3F3F3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5"/>
      <color theme="1"/>
      <name val="Arial"/>
      <family val="2"/>
    </font>
    <font>
      <b/>
      <sz val="15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204"/>
    </font>
    <font>
      <sz val="14"/>
      <color rgb="FF242424"/>
      <name val="Arial"/>
      <family val="2"/>
      <charset val="204"/>
    </font>
    <font>
      <i/>
      <sz val="14"/>
      <color rgb="FF242424"/>
      <name val="Arial"/>
      <family val="2"/>
      <charset val="204"/>
    </font>
    <font>
      <b/>
      <sz val="14"/>
      <color theme="1"/>
      <name val="Arial"/>
      <family val="2"/>
      <charset val="204"/>
    </font>
    <font>
      <sz val="14"/>
      <color rgb="FF070707"/>
      <name val="Arial"/>
      <family val="2"/>
      <charset val="204"/>
    </font>
    <font>
      <i/>
      <sz val="14"/>
      <color rgb="FF070707"/>
      <name val="Arial"/>
      <family val="2"/>
      <charset val="204"/>
    </font>
    <font>
      <sz val="14"/>
      <name val="Arial"/>
      <family val="2"/>
      <charset val="204"/>
    </font>
    <font>
      <i/>
      <sz val="14"/>
      <color theme="1"/>
      <name val="Arial"/>
      <family val="2"/>
      <charset val="204"/>
    </font>
    <font>
      <b/>
      <i/>
      <sz val="14"/>
      <color rgb="FF242424"/>
      <name val="Arial"/>
      <family val="2"/>
      <charset val="204"/>
    </font>
    <font>
      <sz val="15"/>
      <color theme="1"/>
      <name val="Arial"/>
      <family val="2"/>
      <charset val="204"/>
    </font>
    <font>
      <b/>
      <sz val="14"/>
      <color rgb="FF242424"/>
      <name val="Arial"/>
      <family val="2"/>
      <charset val="204"/>
    </font>
    <font>
      <sz val="8"/>
      <name val="Arial"/>
      <family val="2"/>
      <charset val="204"/>
    </font>
    <font>
      <b/>
      <sz val="8"/>
      <name val="Arial"/>
      <family val="2"/>
      <charset val="204"/>
    </font>
    <font>
      <sz val="8"/>
      <name val="Arial"/>
      <family val="2"/>
    </font>
    <font>
      <sz val="11"/>
      <color rgb="FFFF0000"/>
      <name val="Calibri"/>
      <family val="2"/>
      <scheme val="minor"/>
    </font>
    <font>
      <sz val="3"/>
      <name val="Arial"/>
      <family val="2"/>
      <charset val="204"/>
    </font>
    <font>
      <b/>
      <sz val="10"/>
      <name val="Arial"/>
      <family val="2"/>
      <charset val="204"/>
    </font>
    <font>
      <sz val="6"/>
      <name val="Arial"/>
      <family val="2"/>
      <charset val="204"/>
    </font>
    <font>
      <b/>
      <sz val="12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8"/>
      <color theme="1"/>
      <name val="Arial"/>
      <family val="2"/>
      <charset val="204"/>
    </font>
    <font>
      <sz val="16"/>
      <color rgb="FF006100"/>
      <name val="Calibri"/>
      <family val="2"/>
      <charset val="204"/>
      <scheme val="minor"/>
    </font>
    <font>
      <sz val="16"/>
      <color rgb="FF9C0006"/>
      <name val="Calibri"/>
      <family val="2"/>
      <charset val="204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charset val="204"/>
    </font>
    <font>
      <sz val="10"/>
      <name val="Arial"/>
      <family val="2"/>
      <charset val="204"/>
    </font>
    <font>
      <sz val="11"/>
      <name val="Arial Cyr"/>
      <charset val="204"/>
    </font>
    <font>
      <b/>
      <sz val="11"/>
      <name val="Arial Cyr"/>
      <charset val="204"/>
    </font>
    <font>
      <sz val="8"/>
      <name val="Arial Cyr"/>
      <charset val="204"/>
    </font>
    <font>
      <b/>
      <sz val="12"/>
      <color rgb="FF000000"/>
      <name val="Times New Roman"/>
      <family val="1"/>
      <charset val="204"/>
    </font>
    <font>
      <b/>
      <u/>
      <sz val="12"/>
      <name val="Calibri"/>
      <family val="2"/>
      <charset val="204"/>
    </font>
    <font>
      <sz val="10"/>
      <name val="Arial Cyr"/>
      <charset val="204"/>
    </font>
    <font>
      <b/>
      <sz val="10"/>
      <name val="Arial Cyr"/>
      <charset val="204"/>
    </font>
    <font>
      <sz val="11"/>
      <color theme="1"/>
      <name val="Arial Cyr"/>
      <charset val="204"/>
    </font>
    <font>
      <b/>
      <sz val="16"/>
      <color theme="1"/>
      <name val="Calibri"/>
      <family val="2"/>
      <charset val="204"/>
      <scheme val="minor"/>
    </font>
    <font>
      <sz val="11"/>
      <name val="Calibri"/>
      <family val="2"/>
      <charset val="204"/>
    </font>
    <font>
      <b/>
      <sz val="12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  <font>
      <sz val="18"/>
      <color theme="1"/>
      <name val="Calibri"/>
      <family val="2"/>
      <charset val="204"/>
      <scheme val="minor"/>
    </font>
    <font>
      <b/>
      <sz val="2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000000"/>
      <name val="Times New Roman"/>
      <family val="1"/>
      <charset val="204"/>
    </font>
  </fonts>
  <fills count="1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</fills>
  <borders count="1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3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1" applyNumberFormat="0" applyAlignment="0" applyProtection="0"/>
    <xf numFmtId="0" fontId="13" fillId="0" borderId="0"/>
    <xf numFmtId="9" fontId="13" fillId="0" borderId="0" applyFont="0" applyFill="0" applyBorder="0" applyAlignment="0" applyProtection="0"/>
    <xf numFmtId="0" fontId="25" fillId="0" borderId="0"/>
    <xf numFmtId="0" fontId="27" fillId="0" borderId="0"/>
    <xf numFmtId="0" fontId="25" fillId="0" borderId="0"/>
    <xf numFmtId="0" fontId="27" fillId="0" borderId="0"/>
    <xf numFmtId="0" fontId="33" fillId="0" borderId="0"/>
    <xf numFmtId="0" fontId="33" fillId="0" borderId="0"/>
  </cellStyleXfs>
  <cellXfs count="363">
    <xf numFmtId="0" fontId="0" fillId="0" borderId="0" xfId="0"/>
    <xf numFmtId="0" fontId="0" fillId="0" borderId="2" xfId="0" applyBorder="1"/>
    <xf numFmtId="0" fontId="5" fillId="0" borderId="0" xfId="0" applyFont="1" applyAlignment="1">
      <alignment horizontal="left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wrapText="1"/>
    </xf>
    <xf numFmtId="0" fontId="7" fillId="0" borderId="2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7" fillId="0" borderId="0" xfId="0" applyFont="1" applyAlignment="1">
      <alignment wrapText="1"/>
    </xf>
    <xf numFmtId="0" fontId="0" fillId="0" borderId="0" xfId="0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/>
    <xf numFmtId="0" fontId="9" fillId="0" borderId="0" xfId="0" applyFont="1" applyAlignment="1">
      <alignment wrapText="1"/>
    </xf>
    <xf numFmtId="0" fontId="11" fillId="0" borderId="2" xfId="0" applyFont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/>
    </xf>
    <xf numFmtId="0" fontId="11" fillId="7" borderId="2" xfId="0" applyFont="1" applyFill="1" applyBorder="1"/>
    <xf numFmtId="0" fontId="12" fillId="0" borderId="2" xfId="0" applyFont="1" applyBorder="1"/>
    <xf numFmtId="0" fontId="2" fillId="0" borderId="0" xfId="2" applyFill="1"/>
    <xf numFmtId="0" fontId="2" fillId="2" borderId="0" xfId="2" applyAlignment="1">
      <alignment horizontal="center" vertical="center"/>
    </xf>
    <xf numFmtId="0" fontId="4" fillId="4" borderId="1" xfId="4" applyAlignment="1">
      <alignment horizontal="left"/>
    </xf>
    <xf numFmtId="0" fontId="4" fillId="4" borderId="1" xfId="4" applyAlignment="1">
      <alignment horizontal="center" vertical="center"/>
    </xf>
    <xf numFmtId="0" fontId="3" fillId="3" borderId="2" xfId="3" applyBorder="1" applyAlignment="1">
      <alignment horizontal="center" vertical="center" wrapText="1"/>
    </xf>
    <xf numFmtId="0" fontId="3" fillId="3" borderId="0" xfId="3" applyAlignment="1">
      <alignment horizontal="center" vertical="center" wrapText="1"/>
    </xf>
    <xf numFmtId="0" fontId="2" fillId="2" borderId="0" xfId="2" applyAlignment="1">
      <alignment horizontal="center" vertical="center" wrapText="1"/>
    </xf>
    <xf numFmtId="0" fontId="2" fillId="2" borderId="2" xfId="2" applyBorder="1" applyAlignment="1">
      <alignment horizontal="center" vertical="center" wrapText="1"/>
    </xf>
    <xf numFmtId="0" fontId="2" fillId="2" borderId="2" xfId="2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 wrapText="1"/>
    </xf>
    <xf numFmtId="0" fontId="14" fillId="0" borderId="0" xfId="5" applyFont="1" applyAlignment="1">
      <alignment horizontal="center" vertical="center"/>
    </xf>
    <xf numFmtId="165" fontId="14" fillId="9" borderId="2" xfId="5" applyNumberFormat="1" applyFont="1" applyFill="1" applyBorder="1" applyAlignment="1">
      <alignment horizontal="center" vertical="center"/>
    </xf>
    <xf numFmtId="0" fontId="14" fillId="0" borderId="2" xfId="5" applyFont="1" applyBorder="1" applyAlignment="1">
      <alignment horizontal="center" vertical="center"/>
    </xf>
    <xf numFmtId="3" fontId="15" fillId="0" borderId="2" xfId="5" applyNumberFormat="1" applyFont="1" applyBorder="1" applyAlignment="1">
      <alignment horizontal="center" vertical="center" wrapText="1"/>
    </xf>
    <xf numFmtId="0" fontId="15" fillId="0" borderId="2" xfId="5" applyFont="1" applyBorder="1" applyAlignment="1">
      <alignment horizontal="center" vertical="center" wrapText="1"/>
    </xf>
    <xf numFmtId="165" fontId="14" fillId="6" borderId="2" xfId="5" applyNumberFormat="1" applyFont="1" applyFill="1" applyBorder="1" applyAlignment="1">
      <alignment horizontal="center" vertical="center"/>
    </xf>
    <xf numFmtId="3" fontId="14" fillId="0" borderId="2" xfId="5" applyNumberFormat="1" applyFont="1" applyBorder="1" applyAlignment="1">
      <alignment horizontal="center" vertical="center" wrapText="1"/>
    </xf>
    <xf numFmtId="1" fontId="14" fillId="0" borderId="2" xfId="5" applyNumberFormat="1" applyFont="1" applyBorder="1" applyAlignment="1">
      <alignment horizontal="center" vertical="center"/>
    </xf>
    <xf numFmtId="165" fontId="17" fillId="7" borderId="2" xfId="6" applyNumberFormat="1" applyFont="1" applyFill="1" applyBorder="1" applyAlignment="1">
      <alignment horizontal="center" vertical="center"/>
    </xf>
    <xf numFmtId="3" fontId="14" fillId="0" borderId="2" xfId="5" applyNumberFormat="1" applyFont="1" applyBorder="1" applyAlignment="1">
      <alignment horizontal="center" vertical="center"/>
    </xf>
    <xf numFmtId="0" fontId="18" fillId="0" borderId="2" xfId="5" applyFont="1" applyBorder="1" applyAlignment="1">
      <alignment horizontal="center" vertical="center" wrapText="1"/>
    </xf>
    <xf numFmtId="165" fontId="20" fillId="9" borderId="2" xfId="6" applyNumberFormat="1" applyFont="1" applyFill="1" applyBorder="1" applyAlignment="1">
      <alignment horizontal="center" vertical="center"/>
    </xf>
    <xf numFmtId="1" fontId="14" fillId="0" borderId="2" xfId="5" applyNumberFormat="1" applyFont="1" applyBorder="1" applyAlignment="1">
      <alignment horizontal="center" vertical="center" wrapText="1"/>
    </xf>
    <xf numFmtId="165" fontId="14" fillId="10" borderId="2" xfId="5" applyNumberFormat="1" applyFont="1" applyFill="1" applyBorder="1" applyAlignment="1">
      <alignment horizontal="center" vertical="center"/>
    </xf>
    <xf numFmtId="0" fontId="14" fillId="0" borderId="2" xfId="5" applyFont="1" applyBorder="1" applyAlignment="1">
      <alignment horizontal="center" vertical="center" wrapText="1"/>
    </xf>
    <xf numFmtId="3" fontId="14" fillId="0" borderId="0" xfId="5" applyNumberFormat="1" applyFont="1" applyAlignment="1">
      <alignment horizontal="center" vertical="center" wrapText="1"/>
    </xf>
    <xf numFmtId="0" fontId="18" fillId="0" borderId="0" xfId="5" applyFont="1" applyAlignment="1">
      <alignment horizontal="center" vertical="center" wrapText="1"/>
    </xf>
    <xf numFmtId="0" fontId="17" fillId="0" borderId="0" xfId="5" applyFont="1" applyAlignment="1">
      <alignment horizontal="center" vertical="center"/>
    </xf>
    <xf numFmtId="10" fontId="14" fillId="6" borderId="2" xfId="6" applyNumberFormat="1" applyFont="1" applyFill="1" applyBorder="1" applyAlignment="1">
      <alignment horizontal="center" vertical="center" wrapText="1"/>
    </xf>
    <xf numFmtId="164" fontId="14" fillId="0" borderId="2" xfId="5" applyNumberFormat="1" applyFont="1" applyBorder="1" applyAlignment="1">
      <alignment horizontal="center" vertical="center" wrapText="1"/>
    </xf>
    <xf numFmtId="10" fontId="17" fillId="7" borderId="2" xfId="5" applyNumberFormat="1" applyFont="1" applyFill="1" applyBorder="1" applyAlignment="1">
      <alignment horizontal="center" vertical="center"/>
    </xf>
    <xf numFmtId="3" fontId="14" fillId="7" borderId="2" xfId="5" applyNumberFormat="1" applyFont="1" applyFill="1" applyBorder="1" applyAlignment="1">
      <alignment horizontal="center" vertical="center"/>
    </xf>
    <xf numFmtId="10" fontId="14" fillId="7" borderId="2" xfId="6" applyNumberFormat="1" applyFont="1" applyFill="1" applyBorder="1" applyAlignment="1">
      <alignment horizontal="center" vertical="center" wrapText="1"/>
    </xf>
    <xf numFmtId="0" fontId="17" fillId="0" borderId="2" xfId="5" applyFont="1" applyBorder="1" applyAlignment="1">
      <alignment horizontal="center" vertical="center" wrapText="1"/>
    </xf>
    <xf numFmtId="10" fontId="14" fillId="9" borderId="2" xfId="6" applyNumberFormat="1" applyFont="1" applyFill="1" applyBorder="1" applyAlignment="1">
      <alignment horizontal="center" vertical="center"/>
    </xf>
    <xf numFmtId="165" fontId="17" fillId="7" borderId="2" xfId="5" applyNumberFormat="1" applyFont="1" applyFill="1" applyBorder="1" applyAlignment="1">
      <alignment horizontal="center" vertical="center"/>
    </xf>
    <xf numFmtId="10" fontId="18" fillId="9" borderId="2" xfId="6" applyNumberFormat="1" applyFont="1" applyFill="1" applyBorder="1" applyAlignment="1">
      <alignment horizontal="center" vertical="center" wrapText="1"/>
    </xf>
    <xf numFmtId="10" fontId="14" fillId="0" borderId="2" xfId="6" applyNumberFormat="1" applyFont="1" applyBorder="1" applyAlignment="1">
      <alignment horizontal="center" vertical="center"/>
    </xf>
    <xf numFmtId="10" fontId="14" fillId="6" borderId="2" xfId="6" applyNumberFormat="1" applyFont="1" applyFill="1" applyBorder="1" applyAlignment="1">
      <alignment horizontal="center" vertical="center"/>
    </xf>
    <xf numFmtId="10" fontId="14" fillId="9" borderId="2" xfId="6" applyNumberFormat="1" applyFont="1" applyFill="1" applyBorder="1" applyAlignment="1">
      <alignment horizontal="center" vertical="center" wrapText="1"/>
    </xf>
    <xf numFmtId="10" fontId="23" fillId="7" borderId="2" xfId="6" applyNumberFormat="1" applyFont="1" applyFill="1" applyBorder="1" applyAlignment="1">
      <alignment horizontal="center" vertical="center"/>
    </xf>
    <xf numFmtId="0" fontId="24" fillId="0" borderId="2" xfId="5" applyFont="1" applyBorder="1" applyAlignment="1">
      <alignment horizontal="center" vertical="center" wrapText="1"/>
    </xf>
    <xf numFmtId="3" fontId="17" fillId="7" borderId="2" xfId="5" applyNumberFormat="1" applyFont="1" applyFill="1" applyBorder="1" applyAlignment="1">
      <alignment horizontal="center" vertical="center"/>
    </xf>
    <xf numFmtId="164" fontId="17" fillId="0" borderId="2" xfId="5" applyNumberFormat="1" applyFont="1" applyBorder="1" applyAlignment="1">
      <alignment horizontal="center" vertical="center" wrapText="1"/>
    </xf>
    <xf numFmtId="10" fontId="23" fillId="9" borderId="2" xfId="6" applyNumberFormat="1" applyFont="1" applyFill="1" applyBorder="1" applyAlignment="1">
      <alignment horizontal="center" vertical="center"/>
    </xf>
    <xf numFmtId="10" fontId="14" fillId="7" borderId="2" xfId="6" applyNumberFormat="1" applyFont="1" applyFill="1" applyBorder="1" applyAlignment="1">
      <alignment horizontal="center" vertical="center"/>
    </xf>
    <xf numFmtId="10" fontId="14" fillId="0" borderId="0" xfId="5" applyNumberFormat="1" applyFont="1" applyAlignment="1">
      <alignment horizontal="center" vertical="center"/>
    </xf>
    <xf numFmtId="9" fontId="23" fillId="7" borderId="2" xfId="6" applyFont="1" applyFill="1" applyBorder="1" applyAlignment="1">
      <alignment horizontal="center" vertical="center"/>
    </xf>
    <xf numFmtId="0" fontId="23" fillId="0" borderId="2" xfId="5" applyFont="1" applyBorder="1" applyAlignment="1">
      <alignment horizontal="center" vertical="center"/>
    </xf>
    <xf numFmtId="0" fontId="25" fillId="0" borderId="0" xfId="7"/>
    <xf numFmtId="0" fontId="25" fillId="0" borderId="0" xfId="7" applyAlignment="1">
      <alignment horizontal="left"/>
    </xf>
    <xf numFmtId="166" fontId="26" fillId="0" borderId="10" xfId="7" applyNumberFormat="1" applyFont="1" applyBorder="1" applyAlignment="1">
      <alignment horizontal="center" vertical="center"/>
    </xf>
    <xf numFmtId="0" fontId="26" fillId="0" borderId="10" xfId="7" applyFont="1" applyBorder="1" applyAlignment="1">
      <alignment horizontal="center"/>
    </xf>
    <xf numFmtId="0" fontId="25" fillId="0" borderId="10" xfId="7" applyBorder="1" applyAlignment="1">
      <alignment horizontal="left"/>
    </xf>
    <xf numFmtId="0" fontId="26" fillId="0" borderId="10" xfId="7" applyFont="1" applyBorder="1" applyAlignment="1">
      <alignment horizontal="left"/>
    </xf>
    <xf numFmtId="166" fontId="25" fillId="0" borderId="10" xfId="7" applyNumberFormat="1" applyBorder="1" applyAlignment="1">
      <alignment horizontal="center" vertical="center"/>
    </xf>
    <xf numFmtId="0" fontId="25" fillId="0" borderId="10" xfId="7" applyBorder="1" applyAlignment="1">
      <alignment horizontal="center"/>
    </xf>
    <xf numFmtId="9" fontId="25" fillId="0" borderId="10" xfId="7" applyNumberFormat="1" applyBorder="1" applyAlignment="1">
      <alignment horizontal="center"/>
    </xf>
    <xf numFmtId="0" fontId="25" fillId="0" borderId="10" xfId="7" applyBorder="1" applyAlignment="1">
      <alignment horizontal="justify"/>
    </xf>
    <xf numFmtId="10" fontId="25" fillId="0" borderId="10" xfId="7" applyNumberFormat="1" applyBorder="1" applyAlignment="1">
      <alignment horizontal="center"/>
    </xf>
    <xf numFmtId="0" fontId="26" fillId="0" borderId="0" xfId="7" applyFont="1" applyAlignment="1">
      <alignment horizontal="left"/>
    </xf>
    <xf numFmtId="0" fontId="25" fillId="0" borderId="11" xfId="7" applyBorder="1" applyAlignment="1">
      <alignment horizontal="left"/>
    </xf>
    <xf numFmtId="0" fontId="26" fillId="0" borderId="11" xfId="7" applyFont="1" applyBorder="1" applyAlignment="1">
      <alignment horizontal="left"/>
    </xf>
    <xf numFmtId="0" fontId="27" fillId="0" borderId="0" xfId="8" applyAlignment="1">
      <alignment horizontal="center"/>
    </xf>
    <xf numFmtId="0" fontId="28" fillId="0" borderId="2" xfId="5" applyFont="1" applyBorder="1" applyAlignment="1">
      <alignment horizontal="center"/>
    </xf>
    <xf numFmtId="0" fontId="13" fillId="0" borderId="2" xfId="5" applyBorder="1" applyAlignment="1">
      <alignment horizontal="center" wrapText="1"/>
    </xf>
    <xf numFmtId="0" fontId="13" fillId="0" borderId="2" xfId="5" applyBorder="1" applyAlignment="1">
      <alignment wrapText="1"/>
    </xf>
    <xf numFmtId="0" fontId="25" fillId="0" borderId="10" xfId="7" applyBorder="1" applyAlignment="1">
      <alignment horizontal="center" wrapText="1"/>
    </xf>
    <xf numFmtId="0" fontId="25" fillId="0" borderId="10" xfId="7" applyBorder="1" applyAlignment="1">
      <alignment horizontal="left" wrapText="1"/>
    </xf>
    <xf numFmtId="1" fontId="25" fillId="0" borderId="10" xfId="7" applyNumberFormat="1" applyBorder="1" applyAlignment="1">
      <alignment horizontal="right"/>
    </xf>
    <xf numFmtId="0" fontId="13" fillId="0" borderId="2" xfId="5" applyBorder="1" applyAlignment="1">
      <alignment horizontal="center"/>
    </xf>
    <xf numFmtId="0" fontId="29" fillId="0" borderId="0" xfId="7" applyFont="1" applyAlignment="1">
      <alignment horizontal="left"/>
    </xf>
    <xf numFmtId="0" fontId="31" fillId="0" borderId="0" xfId="7" applyFont="1" applyAlignment="1">
      <alignment horizontal="center" vertical="top"/>
    </xf>
    <xf numFmtId="0" fontId="32" fillId="0" borderId="0" xfId="7" applyFont="1" applyAlignment="1">
      <alignment horizontal="left"/>
    </xf>
    <xf numFmtId="0" fontId="25" fillId="0" borderId="0" xfId="7" applyAlignment="1">
      <alignment horizontal="right"/>
    </xf>
    <xf numFmtId="4" fontId="26" fillId="0" borderId="10" xfId="7" applyNumberFormat="1" applyFont="1" applyBorder="1" applyAlignment="1">
      <alignment horizontal="center" vertical="center"/>
    </xf>
    <xf numFmtId="4" fontId="25" fillId="0" borderId="10" xfId="7" applyNumberFormat="1" applyBorder="1" applyAlignment="1">
      <alignment horizontal="center" vertical="center"/>
    </xf>
    <xf numFmtId="0" fontId="25" fillId="0" borderId="0" xfId="9"/>
    <xf numFmtId="0" fontId="25" fillId="0" borderId="0" xfId="9" applyAlignment="1">
      <alignment horizontal="left"/>
    </xf>
    <xf numFmtId="4" fontId="26" fillId="0" borderId="10" xfId="9" applyNumberFormat="1" applyFont="1" applyBorder="1" applyAlignment="1">
      <alignment horizontal="right"/>
    </xf>
    <xf numFmtId="0" fontId="26" fillId="0" borderId="10" xfId="9" applyFont="1" applyBorder="1" applyAlignment="1">
      <alignment horizontal="center"/>
    </xf>
    <xf numFmtId="0" fontId="25" fillId="0" borderId="10" xfId="9" applyBorder="1" applyAlignment="1">
      <alignment horizontal="left"/>
    </xf>
    <xf numFmtId="0" fontId="26" fillId="0" borderId="10" xfId="9" applyFont="1" applyBorder="1" applyAlignment="1">
      <alignment horizontal="left"/>
    </xf>
    <xf numFmtId="4" fontId="25" fillId="0" borderId="10" xfId="9" applyNumberFormat="1" applyBorder="1" applyAlignment="1">
      <alignment horizontal="right"/>
    </xf>
    <xf numFmtId="0" fontId="25" fillId="0" borderId="10" xfId="9" applyBorder="1" applyAlignment="1">
      <alignment horizontal="center"/>
    </xf>
    <xf numFmtId="9" fontId="25" fillId="0" borderId="10" xfId="9" applyNumberFormat="1" applyBorder="1" applyAlignment="1">
      <alignment horizontal="center"/>
    </xf>
    <xf numFmtId="0" fontId="25" fillId="0" borderId="10" xfId="9" applyBorder="1" applyAlignment="1">
      <alignment horizontal="justify"/>
    </xf>
    <xf numFmtId="0" fontId="33" fillId="0" borderId="0" xfId="5" applyFont="1" applyAlignment="1">
      <alignment vertical="center"/>
    </xf>
    <xf numFmtId="10" fontId="25" fillId="0" borderId="10" xfId="9" applyNumberFormat="1" applyBorder="1" applyAlignment="1">
      <alignment horizontal="center"/>
    </xf>
    <xf numFmtId="0" fontId="13" fillId="0" borderId="0" xfId="5"/>
    <xf numFmtId="0" fontId="34" fillId="0" borderId="0" xfId="5" applyFont="1" applyAlignment="1">
      <alignment vertical="center"/>
    </xf>
    <xf numFmtId="4" fontId="26" fillId="0" borderId="10" xfId="9" applyNumberFormat="1" applyFont="1" applyBorder="1" applyAlignment="1">
      <alignment horizontal="center"/>
    </xf>
    <xf numFmtId="0" fontId="26" fillId="0" borderId="0" xfId="9" applyFont="1" applyAlignment="1">
      <alignment horizontal="left"/>
    </xf>
    <xf numFmtId="4" fontId="25" fillId="0" borderId="10" xfId="9" applyNumberFormat="1" applyBorder="1" applyAlignment="1">
      <alignment horizontal="center"/>
    </xf>
    <xf numFmtId="0" fontId="25" fillId="0" borderId="11" xfId="9" applyBorder="1" applyAlignment="1">
      <alignment horizontal="left"/>
    </xf>
    <xf numFmtId="0" fontId="26" fillId="0" borderId="11" xfId="9" applyFont="1" applyBorder="1" applyAlignment="1">
      <alignment horizontal="left"/>
    </xf>
    <xf numFmtId="0" fontId="25" fillId="0" borderId="10" xfId="9" applyBorder="1" applyAlignment="1">
      <alignment horizontal="center" wrapText="1"/>
    </xf>
    <xf numFmtId="0" fontId="25" fillId="0" borderId="10" xfId="9" applyBorder="1" applyAlignment="1">
      <alignment horizontal="left" wrapText="1"/>
    </xf>
    <xf numFmtId="1" fontId="25" fillId="0" borderId="10" xfId="9" applyNumberFormat="1" applyBorder="1" applyAlignment="1">
      <alignment horizontal="right"/>
    </xf>
    <xf numFmtId="0" fontId="5" fillId="0" borderId="0" xfId="5" applyFont="1" applyAlignment="1">
      <alignment vertical="center"/>
    </xf>
    <xf numFmtId="0" fontId="29" fillId="0" borderId="0" xfId="9" applyFont="1" applyAlignment="1">
      <alignment horizontal="left"/>
    </xf>
    <xf numFmtId="0" fontId="31" fillId="0" borderId="0" xfId="9" applyFont="1" applyAlignment="1">
      <alignment horizontal="center" vertical="top"/>
    </xf>
    <xf numFmtId="0" fontId="32" fillId="0" borderId="0" xfId="9" applyFont="1" applyAlignment="1">
      <alignment horizontal="left"/>
    </xf>
    <xf numFmtId="0" fontId="25" fillId="0" borderId="0" xfId="9" applyAlignment="1">
      <alignment horizontal="right"/>
    </xf>
    <xf numFmtId="4" fontId="26" fillId="0" borderId="10" xfId="7" applyNumberFormat="1" applyFont="1" applyBorder="1" applyAlignment="1">
      <alignment horizontal="right"/>
    </xf>
    <xf numFmtId="4" fontId="25" fillId="0" borderId="10" xfId="7" applyNumberFormat="1" applyBorder="1" applyAlignment="1">
      <alignment horizontal="right"/>
    </xf>
    <xf numFmtId="4" fontId="26" fillId="0" borderId="10" xfId="7" applyNumberFormat="1" applyFont="1" applyBorder="1" applyAlignment="1">
      <alignment horizontal="center"/>
    </xf>
    <xf numFmtId="4" fontId="25" fillId="0" borderId="10" xfId="7" applyNumberFormat="1" applyBorder="1" applyAlignment="1">
      <alignment horizontal="center"/>
    </xf>
    <xf numFmtId="0" fontId="27" fillId="0" borderId="2" xfId="10" applyBorder="1" applyAlignment="1">
      <alignment horizontal="center"/>
    </xf>
    <xf numFmtId="2" fontId="26" fillId="0" borderId="10" xfId="9" applyNumberFormat="1" applyFont="1" applyBorder="1" applyAlignment="1">
      <alignment horizontal="right"/>
    </xf>
    <xf numFmtId="166" fontId="26" fillId="0" borderId="10" xfId="9" applyNumberFormat="1" applyFont="1" applyBorder="1" applyAlignment="1">
      <alignment horizontal="right"/>
    </xf>
    <xf numFmtId="2" fontId="25" fillId="0" borderId="10" xfId="9" applyNumberFormat="1" applyBorder="1" applyAlignment="1">
      <alignment horizontal="right"/>
    </xf>
    <xf numFmtId="4" fontId="26" fillId="0" borderId="12" xfId="7" applyNumberFormat="1" applyFont="1" applyBorder="1" applyAlignment="1">
      <alignment horizontal="center" vertical="center"/>
    </xf>
    <xf numFmtId="0" fontId="26" fillId="0" borderId="12" xfId="7" applyFont="1" applyBorder="1" applyAlignment="1">
      <alignment horizontal="left"/>
    </xf>
    <xf numFmtId="4" fontId="25" fillId="0" borderId="2" xfId="7" applyNumberFormat="1" applyBorder="1" applyAlignment="1">
      <alignment horizontal="center" vertical="center"/>
    </xf>
    <xf numFmtId="0" fontId="35" fillId="0" borderId="2" xfId="5" applyFont="1" applyBorder="1" applyAlignment="1">
      <alignment horizontal="center" vertical="center"/>
    </xf>
    <xf numFmtId="0" fontId="25" fillId="0" borderId="2" xfId="7" applyBorder="1" applyAlignment="1">
      <alignment horizontal="center"/>
    </xf>
    <xf numFmtId="0" fontId="25" fillId="0" borderId="11" xfId="7" applyBorder="1" applyAlignment="1">
      <alignment horizontal="center" wrapText="1"/>
    </xf>
    <xf numFmtId="0" fontId="25" fillId="0" borderId="13" xfId="7" applyBorder="1" applyAlignment="1">
      <alignment horizontal="center"/>
    </xf>
    <xf numFmtId="166" fontId="25" fillId="0" borderId="10" xfId="9" applyNumberFormat="1" applyBorder="1" applyAlignment="1">
      <alignment horizontal="right"/>
    </xf>
    <xf numFmtId="0" fontId="36" fillId="2" borderId="0" xfId="2" applyFont="1" applyAlignment="1">
      <alignment horizontal="center" vertical="center" wrapText="1"/>
    </xf>
    <xf numFmtId="0" fontId="37" fillId="3" borderId="0" xfId="3" applyFont="1" applyAlignment="1">
      <alignment horizontal="center" vertical="center" wrapText="1"/>
    </xf>
    <xf numFmtId="10" fontId="38" fillId="0" borderId="0" xfId="1" applyNumberFormat="1" applyFont="1" applyFill="1"/>
    <xf numFmtId="10" fontId="38" fillId="0" borderId="0" xfId="1" applyNumberFormat="1" applyFont="1" applyFill="1" applyAlignment="1">
      <alignment wrapText="1"/>
    </xf>
    <xf numFmtId="0" fontId="39" fillId="0" borderId="2" xfId="5" applyFont="1" applyBorder="1" applyAlignment="1">
      <alignment horizontal="center" vertical="center"/>
    </xf>
    <xf numFmtId="0" fontId="0" fillId="0" borderId="2" xfId="0" applyBorder="1" applyAlignment="1">
      <alignment wrapText="1"/>
    </xf>
    <xf numFmtId="10" fontId="38" fillId="0" borderId="2" xfId="1" applyNumberFormat="1" applyFont="1" applyFill="1" applyBorder="1" applyAlignment="1">
      <alignment wrapText="1"/>
    </xf>
    <xf numFmtId="10" fontId="38" fillId="0" borderId="2" xfId="1" applyNumberFormat="1" applyFont="1" applyFill="1" applyBorder="1"/>
    <xf numFmtId="2" fontId="38" fillId="0" borderId="2" xfId="1" applyNumberFormat="1" applyFont="1" applyFill="1" applyBorder="1" applyAlignment="1">
      <alignment wrapText="1"/>
    </xf>
    <xf numFmtId="2" fontId="38" fillId="0" borderId="2" xfId="1" applyNumberFormat="1" applyFont="1" applyFill="1" applyBorder="1"/>
    <xf numFmtId="0" fontId="0" fillId="0" borderId="2" xfId="0" applyBorder="1" applyAlignment="1">
      <alignment horizontal="left"/>
    </xf>
    <xf numFmtId="167" fontId="0" fillId="0" borderId="2" xfId="0" applyNumberFormat="1" applyBorder="1"/>
    <xf numFmtId="0" fontId="0" fillId="10" borderId="2" xfId="0" applyFill="1" applyBorder="1" applyAlignment="1">
      <alignment wrapText="1"/>
    </xf>
    <xf numFmtId="167" fontId="0" fillId="10" borderId="2" xfId="0" applyNumberFormat="1" applyFill="1" applyBorder="1" applyAlignment="1">
      <alignment wrapText="1"/>
    </xf>
    <xf numFmtId="0" fontId="0" fillId="10" borderId="2" xfId="0" applyFill="1" applyBorder="1" applyAlignment="1">
      <alignment horizontal="center" vertical="center" wrapText="1"/>
    </xf>
    <xf numFmtId="2" fontId="25" fillId="0" borderId="10" xfId="7" applyNumberFormat="1" applyBorder="1" applyAlignment="1">
      <alignment horizontal="center"/>
    </xf>
    <xf numFmtId="2" fontId="25" fillId="0" borderId="10" xfId="9" applyNumberFormat="1" applyBorder="1" applyAlignment="1">
      <alignment horizontal="left" wrapText="1"/>
    </xf>
    <xf numFmtId="2" fontId="25" fillId="0" borderId="10" xfId="9" applyNumberFormat="1" applyBorder="1" applyAlignment="1">
      <alignment horizontal="center" wrapText="1"/>
    </xf>
    <xf numFmtId="2" fontId="25" fillId="0" borderId="10" xfId="9" applyNumberFormat="1" applyBorder="1" applyAlignment="1">
      <alignment horizontal="center"/>
    </xf>
    <xf numFmtId="2" fontId="26" fillId="0" borderId="11" xfId="7" applyNumberFormat="1" applyFont="1" applyBorder="1" applyAlignment="1">
      <alignment horizontal="left"/>
    </xf>
    <xf numFmtId="2" fontId="26" fillId="0" borderId="10" xfId="7" applyNumberFormat="1" applyFont="1" applyBorder="1" applyAlignment="1">
      <alignment horizontal="left"/>
    </xf>
    <xf numFmtId="2" fontId="26" fillId="0" borderId="10" xfId="7" applyNumberFormat="1" applyFont="1" applyBorder="1" applyAlignment="1">
      <alignment horizontal="center"/>
    </xf>
    <xf numFmtId="2" fontId="25" fillId="0" borderId="11" xfId="7" applyNumberFormat="1" applyBorder="1" applyAlignment="1">
      <alignment horizontal="left"/>
    </xf>
    <xf numFmtId="2" fontId="25" fillId="0" borderId="10" xfId="7" applyNumberFormat="1" applyBorder="1" applyAlignment="1">
      <alignment horizontal="left"/>
    </xf>
    <xf numFmtId="2" fontId="26" fillId="0" borderId="0" xfId="7" applyNumberFormat="1" applyFont="1" applyAlignment="1">
      <alignment horizontal="left"/>
    </xf>
    <xf numFmtId="2" fontId="25" fillId="0" borderId="10" xfId="7" applyNumberFormat="1" applyBorder="1" applyAlignment="1">
      <alignment horizontal="right"/>
    </xf>
    <xf numFmtId="2" fontId="25" fillId="0" borderId="10" xfId="7" applyNumberFormat="1" applyBorder="1" applyAlignment="1">
      <alignment horizontal="justify"/>
    </xf>
    <xf numFmtId="2" fontId="26" fillId="0" borderId="10" xfId="7" applyNumberFormat="1" applyFont="1" applyBorder="1" applyAlignment="1">
      <alignment horizontal="right"/>
    </xf>
    <xf numFmtId="168" fontId="25" fillId="0" borderId="10" xfId="7" applyNumberFormat="1" applyBorder="1" applyAlignment="1">
      <alignment horizontal="center"/>
    </xf>
    <xf numFmtId="168" fontId="25" fillId="0" borderId="10" xfId="9" applyNumberFormat="1" applyBorder="1" applyAlignment="1">
      <alignment horizontal="right"/>
    </xf>
    <xf numFmtId="168" fontId="25" fillId="0" borderId="10" xfId="9" applyNumberFormat="1" applyBorder="1" applyAlignment="1">
      <alignment horizontal="left" wrapText="1"/>
    </xf>
    <xf numFmtId="168" fontId="25" fillId="0" borderId="10" xfId="9" applyNumberFormat="1" applyBorder="1" applyAlignment="1">
      <alignment horizontal="center" wrapText="1"/>
    </xf>
    <xf numFmtId="168" fontId="25" fillId="0" borderId="10" xfId="9" applyNumberFormat="1" applyBorder="1" applyAlignment="1">
      <alignment horizontal="center"/>
    </xf>
    <xf numFmtId="168" fontId="26" fillId="0" borderId="11" xfId="7" applyNumberFormat="1" applyFont="1" applyBorder="1" applyAlignment="1">
      <alignment horizontal="left"/>
    </xf>
    <xf numFmtId="168" fontId="26" fillId="0" borderId="10" xfId="7" applyNumberFormat="1" applyFont="1" applyBorder="1" applyAlignment="1">
      <alignment horizontal="left"/>
    </xf>
    <xf numFmtId="168" fontId="26" fillId="0" borderId="10" xfId="7" applyNumberFormat="1" applyFont="1" applyBorder="1" applyAlignment="1">
      <alignment horizontal="center"/>
    </xf>
    <xf numFmtId="168" fontId="25" fillId="0" borderId="11" xfId="7" applyNumberFormat="1" applyBorder="1" applyAlignment="1">
      <alignment horizontal="left"/>
    </xf>
    <xf numFmtId="168" fontId="25" fillId="0" borderId="10" xfId="7" applyNumberFormat="1" applyBorder="1" applyAlignment="1">
      <alignment horizontal="left"/>
    </xf>
    <xf numFmtId="168" fontId="26" fillId="0" borderId="0" xfId="7" applyNumberFormat="1" applyFont="1" applyAlignment="1">
      <alignment horizontal="left"/>
    </xf>
    <xf numFmtId="168" fontId="25" fillId="0" borderId="10" xfId="7" applyNumberFormat="1" applyBorder="1" applyAlignment="1">
      <alignment horizontal="right"/>
    </xf>
    <xf numFmtId="168" fontId="25" fillId="0" borderId="10" xfId="7" applyNumberFormat="1" applyBorder="1" applyAlignment="1">
      <alignment horizontal="justify"/>
    </xf>
    <xf numFmtId="168" fontId="26" fillId="0" borderId="10" xfId="7" applyNumberFormat="1" applyFont="1" applyBorder="1" applyAlignment="1">
      <alignment horizontal="right"/>
    </xf>
    <xf numFmtId="0" fontId="36" fillId="0" borderId="0" xfId="2" applyFont="1" applyFill="1" applyAlignment="1">
      <alignment horizontal="center" vertical="center" wrapText="1"/>
    </xf>
    <xf numFmtId="0" fontId="37" fillId="0" borderId="0" xfId="3" applyFont="1" applyFill="1" applyAlignment="1">
      <alignment horizontal="center" vertical="center" wrapText="1"/>
    </xf>
    <xf numFmtId="4" fontId="0" fillId="0" borderId="0" xfId="0" applyNumberFormat="1"/>
    <xf numFmtId="0" fontId="40" fillId="0" borderId="0" xfId="0" applyFont="1"/>
    <xf numFmtId="0" fontId="41" fillId="0" borderId="0" xfId="0" applyFont="1"/>
    <xf numFmtId="2" fontId="41" fillId="0" borderId="0" xfId="0" applyNumberFormat="1" applyFont="1" applyAlignment="1">
      <alignment horizontal="right"/>
    </xf>
    <xf numFmtId="0" fontId="42" fillId="0" borderId="0" xfId="0" applyFont="1"/>
    <xf numFmtId="2" fontId="43" fillId="0" borderId="0" xfId="0" applyNumberFormat="1" applyFont="1" applyAlignment="1">
      <alignment horizontal="center"/>
    </xf>
    <xf numFmtId="0" fontId="44" fillId="0" borderId="0" xfId="0" applyFont="1" applyAlignment="1">
      <alignment horizontal="left"/>
    </xf>
    <xf numFmtId="2" fontId="41" fillId="0" borderId="0" xfId="0" applyNumberFormat="1" applyFont="1" applyAlignment="1">
      <alignment horizontal="center"/>
    </xf>
    <xf numFmtId="0" fontId="42" fillId="0" borderId="2" xfId="0" applyFont="1" applyBorder="1" applyAlignment="1">
      <alignment horizontal="right" vertical="center" wrapText="1"/>
    </xf>
    <xf numFmtId="0" fontId="42" fillId="0" borderId="2" xfId="0" applyFont="1" applyBorder="1" applyAlignment="1">
      <alignment vertical="center" wrapText="1"/>
    </xf>
    <xf numFmtId="0" fontId="42" fillId="0" borderId="2" xfId="0" applyFont="1" applyBorder="1" applyAlignment="1">
      <alignment horizontal="center" vertical="center" wrapText="1"/>
    </xf>
    <xf numFmtId="2" fontId="42" fillId="0" borderId="2" xfId="0" applyNumberFormat="1" applyFont="1" applyBorder="1" applyAlignment="1">
      <alignment horizontal="center" vertical="center" wrapText="1"/>
    </xf>
    <xf numFmtId="0" fontId="45" fillId="0" borderId="0" xfId="9" applyFont="1" applyAlignment="1">
      <alignment horizontal="center" wrapText="1"/>
    </xf>
    <xf numFmtId="0" fontId="5" fillId="0" borderId="0" xfId="0" applyFont="1"/>
    <xf numFmtId="0" fontId="42" fillId="0" borderId="5" xfId="0" applyFont="1" applyBorder="1" applyAlignment="1">
      <alignment horizontal="right" vertical="center" wrapText="1"/>
    </xf>
    <xf numFmtId="0" fontId="41" fillId="0" borderId="2" xfId="0" applyFont="1" applyBorder="1" applyAlignment="1">
      <alignment horizontal="center"/>
    </xf>
    <xf numFmtId="168" fontId="41" fillId="0" borderId="2" xfId="0" applyNumberFormat="1" applyFont="1" applyBorder="1" applyAlignment="1">
      <alignment horizontal="center"/>
    </xf>
    <xf numFmtId="169" fontId="41" fillId="0" borderId="2" xfId="0" applyNumberFormat="1" applyFont="1" applyBorder="1" applyAlignment="1">
      <alignment horizontal="center"/>
    </xf>
    <xf numFmtId="2" fontId="41" fillId="0" borderId="2" xfId="0" applyNumberFormat="1" applyFont="1" applyBorder="1" applyAlignment="1">
      <alignment horizontal="center"/>
    </xf>
    <xf numFmtId="0" fontId="40" fillId="0" borderId="0" xfId="9" applyFont="1" applyAlignment="1">
      <alignment horizontal="center" vertical="center"/>
    </xf>
    <xf numFmtId="0" fontId="46" fillId="0" borderId="0" xfId="9" applyFont="1" applyAlignment="1">
      <alignment horizontal="center" vertical="center"/>
    </xf>
    <xf numFmtId="0" fontId="42" fillId="0" borderId="2" xfId="0" applyFont="1" applyBorder="1" applyAlignment="1">
      <alignment horizontal="left" vertical="center" wrapText="1"/>
    </xf>
    <xf numFmtId="0" fontId="42" fillId="0" borderId="2" xfId="0" applyFont="1" applyBorder="1"/>
    <xf numFmtId="0" fontId="42" fillId="0" borderId="2" xfId="0" applyFont="1" applyBorder="1" applyAlignment="1">
      <alignment horizontal="center"/>
    </xf>
    <xf numFmtId="169" fontId="42" fillId="0" borderId="2" xfId="0" applyNumberFormat="1" applyFont="1" applyBorder="1" applyAlignment="1">
      <alignment horizontal="center"/>
    </xf>
    <xf numFmtId="2" fontId="42" fillId="0" borderId="2" xfId="0" applyNumberFormat="1" applyFont="1" applyBorder="1" applyAlignment="1">
      <alignment horizontal="center"/>
    </xf>
    <xf numFmtId="0" fontId="41" fillId="0" borderId="2" xfId="0" applyFont="1" applyBorder="1" applyAlignment="1">
      <alignment horizontal="left" vertical="center" wrapText="1"/>
    </xf>
    <xf numFmtId="0" fontId="41" fillId="0" borderId="2" xfId="0" applyFont="1" applyBorder="1"/>
    <xf numFmtId="9" fontId="41" fillId="0" borderId="2" xfId="0" applyNumberFormat="1" applyFont="1" applyBorder="1" applyAlignment="1">
      <alignment horizontal="center"/>
    </xf>
    <xf numFmtId="0" fontId="41" fillId="0" borderId="2" xfId="0" applyFont="1" applyBorder="1" applyAlignment="1">
      <alignment horizontal="center" vertical="center" wrapText="1"/>
    </xf>
    <xf numFmtId="9" fontId="41" fillId="0" borderId="2" xfId="0" applyNumberFormat="1" applyFont="1" applyBorder="1" applyAlignment="1">
      <alignment horizontal="center" vertical="center" wrapText="1"/>
    </xf>
    <xf numFmtId="2" fontId="41" fillId="0" borderId="2" xfId="0" applyNumberFormat="1" applyFont="1" applyBorder="1" applyAlignment="1">
      <alignment horizontal="center" vertical="center"/>
    </xf>
    <xf numFmtId="0" fontId="47" fillId="0" borderId="2" xfId="0" applyFont="1" applyBorder="1" applyAlignment="1">
      <alignment horizontal="left" vertical="center" wrapText="1"/>
    </xf>
    <xf numFmtId="0" fontId="48" fillId="0" borderId="2" xfId="0" applyFont="1" applyBorder="1"/>
    <xf numFmtId="0" fontId="48" fillId="0" borderId="2" xfId="0" applyFont="1" applyBorder="1" applyAlignment="1">
      <alignment horizontal="center"/>
    </xf>
    <xf numFmtId="0" fontId="48" fillId="0" borderId="2" xfId="0" applyFont="1" applyBorder="1" applyAlignment="1">
      <alignment horizontal="center" vertical="center"/>
    </xf>
    <xf numFmtId="0" fontId="40" fillId="0" borderId="2" xfId="0" applyFont="1" applyBorder="1"/>
    <xf numFmtId="2" fontId="30" fillId="0" borderId="2" xfId="0" applyNumberFormat="1" applyFont="1" applyBorder="1" applyAlignment="1">
      <alignment horizontal="center"/>
    </xf>
    <xf numFmtId="2" fontId="40" fillId="0" borderId="0" xfId="0" applyNumberFormat="1" applyFont="1"/>
    <xf numFmtId="0" fontId="44" fillId="0" borderId="0" xfId="0" applyFont="1"/>
    <xf numFmtId="0" fontId="49" fillId="0" borderId="0" xfId="0" applyFont="1"/>
    <xf numFmtId="0" fontId="50" fillId="0" borderId="0" xfId="0" applyFont="1"/>
    <xf numFmtId="0" fontId="48" fillId="0" borderId="2" xfId="0" applyFont="1" applyBorder="1" applyAlignment="1">
      <alignment vertical="center"/>
    </xf>
    <xf numFmtId="168" fontId="0" fillId="0" borderId="0" xfId="0" applyNumberFormat="1"/>
    <xf numFmtId="0" fontId="42" fillId="0" borderId="0" xfId="0" applyFont="1" applyAlignment="1">
      <alignment horizontal="right" vertical="center" wrapText="1"/>
    </xf>
    <xf numFmtId="3" fontId="0" fillId="0" borderId="2" xfId="0" applyNumberFormat="1" applyBorder="1"/>
    <xf numFmtId="0" fontId="51" fillId="0" borderId="0" xfId="0" applyFont="1" applyAlignment="1">
      <alignment horizontal="center" vertical="center"/>
    </xf>
    <xf numFmtId="0" fontId="0" fillId="0" borderId="5" xfId="0" applyBorder="1"/>
    <xf numFmtId="167" fontId="0" fillId="0" borderId="5" xfId="0" applyNumberFormat="1" applyBorder="1"/>
    <xf numFmtId="0" fontId="40" fillId="0" borderId="0" xfId="11" applyFont="1"/>
    <xf numFmtId="0" fontId="40" fillId="0" borderId="0" xfId="11" applyFont="1" applyAlignment="1">
      <alignment shrinkToFit="1"/>
    </xf>
    <xf numFmtId="0" fontId="41" fillId="0" borderId="0" xfId="11" applyFont="1"/>
    <xf numFmtId="2" fontId="41" fillId="0" borderId="0" xfId="11" applyNumberFormat="1" applyFont="1" applyAlignment="1">
      <alignment horizontal="right"/>
    </xf>
    <xf numFmtId="0" fontId="33" fillId="0" borderId="0" xfId="11" applyAlignment="1">
      <alignment horizontal="center"/>
    </xf>
    <xf numFmtId="0" fontId="33" fillId="0" borderId="0" xfId="11"/>
    <xf numFmtId="0" fontId="42" fillId="0" borderId="0" xfId="11" applyFont="1" applyAlignment="1">
      <alignment shrinkToFit="1"/>
    </xf>
    <xf numFmtId="2" fontId="43" fillId="0" borderId="0" xfId="11" applyNumberFormat="1" applyFont="1" applyAlignment="1">
      <alignment horizontal="center"/>
    </xf>
    <xf numFmtId="0" fontId="44" fillId="0" borderId="0" xfId="11" applyFont="1" applyAlignment="1">
      <alignment shrinkToFit="1"/>
    </xf>
    <xf numFmtId="2" fontId="41" fillId="0" borderId="0" xfId="11" applyNumberFormat="1" applyFont="1" applyAlignment="1">
      <alignment horizontal="center"/>
    </xf>
    <xf numFmtId="0" fontId="42" fillId="0" borderId="2" xfId="11" applyFont="1" applyBorder="1" applyAlignment="1">
      <alignment horizontal="right" vertical="center" wrapText="1"/>
    </xf>
    <xf numFmtId="0" fontId="42" fillId="0" borderId="2" xfId="11" applyFont="1" applyBorder="1" applyAlignment="1">
      <alignment vertical="center" wrapText="1" shrinkToFit="1"/>
    </xf>
    <xf numFmtId="0" fontId="42" fillId="0" borderId="2" xfId="11" applyFont="1" applyBorder="1" applyAlignment="1">
      <alignment horizontal="center" vertical="center" wrapText="1"/>
    </xf>
    <xf numFmtId="2" fontId="42" fillId="0" borderId="2" xfId="11" applyNumberFormat="1" applyFont="1" applyBorder="1" applyAlignment="1">
      <alignment horizontal="center" vertical="center" wrapText="1"/>
    </xf>
    <xf numFmtId="0" fontId="45" fillId="0" borderId="0" xfId="11" applyFont="1" applyAlignment="1">
      <alignment horizontal="center" wrapText="1"/>
    </xf>
    <xf numFmtId="0" fontId="5" fillId="0" borderId="0" xfId="11" applyFont="1"/>
    <xf numFmtId="0" fontId="33" fillId="0" borderId="2" xfId="11" applyBorder="1" applyAlignment="1">
      <alignment shrinkToFit="1"/>
    </xf>
    <xf numFmtId="0" fontId="41" fillId="0" borderId="2" xfId="11" applyFont="1" applyBorder="1" applyAlignment="1">
      <alignment horizontal="center"/>
    </xf>
    <xf numFmtId="169" fontId="41" fillId="0" borderId="2" xfId="11" applyNumberFormat="1" applyFont="1" applyBorder="1" applyAlignment="1">
      <alignment horizontal="center"/>
    </xf>
    <xf numFmtId="2" fontId="41" fillId="0" borderId="2" xfId="11" applyNumberFormat="1" applyFont="1" applyBorder="1" applyAlignment="1">
      <alignment horizontal="center"/>
    </xf>
    <xf numFmtId="0" fontId="50" fillId="0" borderId="0" xfId="11" applyFont="1" applyAlignment="1">
      <alignment horizontal="center"/>
    </xf>
    <xf numFmtId="0" fontId="33" fillId="0" borderId="2" xfId="11" applyBorder="1" applyAlignment="1">
      <alignment wrapText="1" shrinkToFit="1"/>
    </xf>
    <xf numFmtId="0" fontId="33" fillId="0" borderId="0" xfId="11" applyAlignment="1">
      <alignment wrapText="1"/>
    </xf>
    <xf numFmtId="0" fontId="42" fillId="0" borderId="2" xfId="11" applyFont="1" applyBorder="1" applyAlignment="1">
      <alignment horizontal="left" vertical="center" wrapText="1" shrinkToFit="1"/>
    </xf>
    <xf numFmtId="0" fontId="42" fillId="0" borderId="2" xfId="11" applyFont="1" applyBorder="1"/>
    <xf numFmtId="0" fontId="42" fillId="0" borderId="2" xfId="11" applyFont="1" applyBorder="1" applyAlignment="1">
      <alignment horizontal="center"/>
    </xf>
    <xf numFmtId="169" fontId="42" fillId="0" borderId="2" xfId="11" applyNumberFormat="1" applyFont="1" applyBorder="1" applyAlignment="1">
      <alignment horizontal="center"/>
    </xf>
    <xf numFmtId="2" fontId="42" fillId="0" borderId="2" xfId="11" applyNumberFormat="1" applyFont="1" applyBorder="1" applyAlignment="1">
      <alignment horizontal="center"/>
    </xf>
    <xf numFmtId="0" fontId="41" fillId="0" borderId="2" xfId="11" applyFont="1" applyBorder="1" applyAlignment="1">
      <alignment horizontal="left" vertical="center" wrapText="1" shrinkToFit="1"/>
    </xf>
    <xf numFmtId="0" fontId="41" fillId="0" borderId="2" xfId="11" applyFont="1" applyBorder="1"/>
    <xf numFmtId="9" fontId="41" fillId="0" borderId="2" xfId="11" applyNumberFormat="1" applyFont="1" applyBorder="1" applyAlignment="1">
      <alignment horizontal="center"/>
    </xf>
    <xf numFmtId="0" fontId="41" fillId="0" borderId="2" xfId="11" applyFont="1" applyBorder="1" applyAlignment="1">
      <alignment horizontal="center" vertical="center" wrapText="1"/>
    </xf>
    <xf numFmtId="9" fontId="41" fillId="0" borderId="2" xfId="11" applyNumberFormat="1" applyFont="1" applyBorder="1" applyAlignment="1">
      <alignment horizontal="center" vertical="center" wrapText="1"/>
    </xf>
    <xf numFmtId="2" fontId="41" fillId="0" borderId="2" xfId="11" applyNumberFormat="1" applyFont="1" applyBorder="1" applyAlignment="1">
      <alignment horizontal="center" vertical="center"/>
    </xf>
    <xf numFmtId="0" fontId="47" fillId="0" borderId="2" xfId="11" applyFont="1" applyBorder="1" applyAlignment="1">
      <alignment horizontal="left" vertical="center" wrapText="1" shrinkToFit="1"/>
    </xf>
    <xf numFmtId="0" fontId="42" fillId="0" borderId="2" xfId="11" applyFont="1" applyBorder="1" applyAlignment="1">
      <alignment shrinkToFit="1"/>
    </xf>
    <xf numFmtId="0" fontId="40" fillId="0" borderId="2" xfId="11" applyFont="1" applyBorder="1"/>
    <xf numFmtId="0" fontId="40" fillId="0" borderId="2" xfId="11" applyFont="1" applyBorder="1" applyAlignment="1">
      <alignment shrinkToFit="1"/>
    </xf>
    <xf numFmtId="2" fontId="30" fillId="0" borderId="2" xfId="11" applyNumberFormat="1" applyFont="1" applyBorder="1" applyAlignment="1">
      <alignment horizontal="center"/>
    </xf>
    <xf numFmtId="2" fontId="40" fillId="0" borderId="0" xfId="11" applyNumberFormat="1" applyFont="1"/>
    <xf numFmtId="0" fontId="41" fillId="0" borderId="0" xfId="11" applyFont="1" applyAlignment="1">
      <alignment shrinkToFit="1"/>
    </xf>
    <xf numFmtId="0" fontId="33" fillId="0" borderId="0" xfId="11" applyAlignment="1">
      <alignment shrinkToFit="1"/>
    </xf>
    <xf numFmtId="0" fontId="52" fillId="0" borderId="5" xfId="0" applyFont="1" applyBorder="1"/>
    <xf numFmtId="0" fontId="0" fillId="0" borderId="2" xfId="0" applyBorder="1" applyAlignment="1">
      <alignment horizontal="center" vertical="center" wrapText="1"/>
    </xf>
    <xf numFmtId="167" fontId="0" fillId="10" borderId="2" xfId="0" applyNumberFormat="1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2" fontId="38" fillId="0" borderId="2" xfId="1" applyNumberFormat="1" applyFont="1" applyFill="1" applyBorder="1" applyAlignment="1">
      <alignment horizontal="center" vertical="center"/>
    </xf>
    <xf numFmtId="167" fontId="0" fillId="0" borderId="2" xfId="0" applyNumberFormat="1" applyBorder="1" applyAlignment="1">
      <alignment horizontal="center" vertical="center"/>
    </xf>
    <xf numFmtId="3" fontId="11" fillId="8" borderId="2" xfId="0" applyNumberFormat="1" applyFont="1" applyFill="1" applyBorder="1" applyAlignment="1">
      <alignment horizontal="center" vertical="center"/>
    </xf>
    <xf numFmtId="167" fontId="0" fillId="11" borderId="2" xfId="0" applyNumberFormat="1" applyFill="1" applyBorder="1" applyAlignment="1">
      <alignment horizontal="center" vertical="center"/>
    </xf>
    <xf numFmtId="2" fontId="38" fillId="0" borderId="2" xfId="1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1" fillId="7" borderId="2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167" fontId="0" fillId="0" borderId="0" xfId="0" applyNumberFormat="1"/>
    <xf numFmtId="4" fontId="11" fillId="12" borderId="2" xfId="0" applyNumberFormat="1" applyFont="1" applyFill="1" applyBorder="1" applyAlignment="1">
      <alignment horizontal="center" vertical="center" wrapText="1"/>
    </xf>
    <xf numFmtId="4" fontId="11" fillId="13" borderId="2" xfId="0" applyNumberFormat="1" applyFont="1" applyFill="1" applyBorder="1" applyAlignment="1">
      <alignment horizontal="center" vertical="center" wrapText="1"/>
    </xf>
    <xf numFmtId="0" fontId="11" fillId="13" borderId="2" xfId="0" applyFont="1" applyFill="1" applyBorder="1" applyAlignment="1">
      <alignment horizontal="center" vertical="center" wrapText="1"/>
    </xf>
    <xf numFmtId="9" fontId="11" fillId="6" borderId="2" xfId="1" applyFont="1" applyFill="1" applyBorder="1" applyAlignment="1">
      <alignment horizontal="center" vertical="center" wrapText="1"/>
    </xf>
    <xf numFmtId="9" fontId="11" fillId="12" borderId="2" xfId="1" applyFont="1" applyFill="1" applyBorder="1" applyAlignment="1">
      <alignment horizontal="center" vertical="center" wrapText="1"/>
    </xf>
    <xf numFmtId="9" fontId="11" fillId="13" borderId="2" xfId="1" applyFont="1" applyFill="1" applyBorder="1" applyAlignment="1">
      <alignment horizontal="center" vertical="center" wrapText="1"/>
    </xf>
    <xf numFmtId="170" fontId="0" fillId="0" borderId="2" xfId="0" applyNumberFormat="1" applyBorder="1" applyAlignment="1">
      <alignment horizontal="center" vertical="center"/>
    </xf>
    <xf numFmtId="170" fontId="0" fillId="0" borderId="2" xfId="0" applyNumberFormat="1" applyBorder="1"/>
    <xf numFmtId="0" fontId="12" fillId="0" borderId="2" xfId="0" applyFont="1" applyBorder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11" fillId="0" borderId="2" xfId="0" applyFont="1" applyBorder="1" applyAlignment="1">
      <alignment horizontal="left" vertical="center"/>
    </xf>
    <xf numFmtId="1" fontId="51" fillId="0" borderId="2" xfId="0" applyNumberFormat="1" applyFont="1" applyBorder="1" applyAlignment="1">
      <alignment horizontal="center" vertical="center"/>
    </xf>
    <xf numFmtId="1" fontId="51" fillId="0" borderId="2" xfId="0" applyNumberFormat="1" applyFont="1" applyBorder="1" applyAlignment="1">
      <alignment horizontal="center"/>
    </xf>
    <xf numFmtId="167" fontId="12" fillId="5" borderId="2" xfId="0" applyNumberFormat="1" applyFont="1" applyFill="1" applyBorder="1" applyAlignment="1">
      <alignment horizontal="center" vertical="center"/>
    </xf>
    <xf numFmtId="167" fontId="51" fillId="6" borderId="2" xfId="0" applyNumberFormat="1" applyFont="1" applyFill="1" applyBorder="1" applyAlignment="1">
      <alignment horizontal="center" vertical="center"/>
    </xf>
    <xf numFmtId="167" fontId="11" fillId="12" borderId="2" xfId="0" applyNumberFormat="1" applyFont="1" applyFill="1" applyBorder="1" applyAlignment="1">
      <alignment horizontal="center" vertical="center" wrapText="1"/>
    </xf>
    <xf numFmtId="167" fontId="11" fillId="13" borderId="2" xfId="0" applyNumberFormat="1" applyFont="1" applyFill="1" applyBorder="1" applyAlignment="1">
      <alignment horizontal="center" vertical="center" wrapText="1"/>
    </xf>
    <xf numFmtId="167" fontId="11" fillId="6" borderId="2" xfId="0" applyNumberFormat="1" applyFont="1" applyFill="1" applyBorder="1" applyAlignment="1">
      <alignment horizontal="center" vertical="center" wrapText="1"/>
    </xf>
    <xf numFmtId="167" fontId="0" fillId="5" borderId="2" xfId="0" applyNumberFormat="1" applyFill="1" applyBorder="1" applyAlignment="1">
      <alignment horizontal="center" vertical="center"/>
    </xf>
    <xf numFmtId="0" fontId="53" fillId="0" borderId="2" xfId="0" applyFont="1" applyBorder="1"/>
    <xf numFmtId="0" fontId="53" fillId="0" borderId="6" xfId="0" applyFont="1" applyBorder="1"/>
    <xf numFmtId="0" fontId="10" fillId="0" borderId="0" xfId="0" applyFont="1" applyAlignment="1">
      <alignment horizontal="left" vertical="center"/>
    </xf>
    <xf numFmtId="0" fontId="0" fillId="0" borderId="5" xfId="0" applyBorder="1" applyAlignment="1">
      <alignment horizontal="center" vertical="center"/>
    </xf>
    <xf numFmtId="167" fontId="0" fillId="0" borderId="5" xfId="0" applyNumberFormat="1" applyBorder="1" applyAlignment="1">
      <alignment horizontal="center" vertical="center"/>
    </xf>
    <xf numFmtId="169" fontId="41" fillId="0" borderId="2" xfId="12" applyNumberFormat="1" applyFont="1" applyBorder="1" applyAlignment="1">
      <alignment horizontal="center"/>
    </xf>
    <xf numFmtId="0" fontId="52" fillId="0" borderId="0" xfId="0" applyFont="1"/>
    <xf numFmtId="0" fontId="54" fillId="0" borderId="0" xfId="0" applyFont="1"/>
    <xf numFmtId="0" fontId="56" fillId="0" borderId="0" xfId="0" applyFont="1"/>
    <xf numFmtId="167" fontId="11" fillId="5" borderId="2" xfId="0" applyNumberFormat="1" applyFont="1" applyFill="1" applyBorder="1" applyAlignment="1">
      <alignment horizontal="center" vertical="center" wrapText="1"/>
    </xf>
    <xf numFmtId="0" fontId="53" fillId="0" borderId="0" xfId="0" applyFont="1" applyAlignment="1">
      <alignment horizontal="center"/>
    </xf>
    <xf numFmtId="0" fontId="10" fillId="0" borderId="2" xfId="0" applyFont="1" applyBorder="1" applyAlignment="1">
      <alignment horizontal="left" vertical="center"/>
    </xf>
    <xf numFmtId="4" fontId="0" fillId="0" borderId="2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9" fontId="0" fillId="0" borderId="2" xfId="1" applyFont="1" applyBorder="1" applyAlignment="1">
      <alignment horizontal="center" vertical="center"/>
    </xf>
    <xf numFmtId="1" fontId="41" fillId="0" borderId="2" xfId="0" applyNumberFormat="1" applyFont="1" applyBorder="1" applyAlignment="1">
      <alignment horizontal="center"/>
    </xf>
    <xf numFmtId="0" fontId="48" fillId="0" borderId="0" xfId="0" applyFont="1" applyAlignment="1">
      <alignment horizontal="center" vertical="center"/>
    </xf>
    <xf numFmtId="0" fontId="48" fillId="0" borderId="0" xfId="0" applyFont="1"/>
    <xf numFmtId="0" fontId="0" fillId="0" borderId="2" xfId="0" applyBorder="1" applyAlignment="1">
      <alignment horizontal="center"/>
    </xf>
    <xf numFmtId="1" fontId="0" fillId="0" borderId="2" xfId="0" applyNumberFormat="1" applyBorder="1" applyAlignment="1">
      <alignment horizontal="center" vertical="center"/>
    </xf>
    <xf numFmtId="0" fontId="57" fillId="0" borderId="0" xfId="0" applyFont="1"/>
    <xf numFmtId="167" fontId="0" fillId="5" borderId="2" xfId="0" quotePrefix="1" applyNumberFormat="1" applyFill="1" applyBorder="1" applyAlignment="1">
      <alignment horizontal="center" vertical="center"/>
    </xf>
    <xf numFmtId="0" fontId="10" fillId="0" borderId="4" xfId="0" applyFont="1" applyBorder="1" applyAlignment="1">
      <alignment horizontal="center" textRotation="255"/>
    </xf>
    <xf numFmtId="0" fontId="10" fillId="0" borderId="5" xfId="0" applyFont="1" applyBorder="1" applyAlignment="1">
      <alignment horizontal="center" textRotation="255"/>
    </xf>
    <xf numFmtId="0" fontId="10" fillId="0" borderId="6" xfId="0" applyFont="1" applyBorder="1" applyAlignment="1">
      <alignment horizontal="center" textRotation="255"/>
    </xf>
    <xf numFmtId="0" fontId="52" fillId="0" borderId="2" xfId="0" applyFont="1" applyBorder="1" applyAlignment="1">
      <alignment horizontal="center" vertical="center" wrapText="1"/>
    </xf>
    <xf numFmtId="0" fontId="14" fillId="0" borderId="8" xfId="5" applyFont="1" applyBorder="1" applyAlignment="1">
      <alignment horizontal="center" vertical="center" wrapText="1"/>
    </xf>
    <xf numFmtId="0" fontId="14" fillId="0" borderId="7" xfId="5" applyFont="1" applyBorder="1" applyAlignment="1">
      <alignment horizontal="center" vertical="center"/>
    </xf>
    <xf numFmtId="0" fontId="14" fillId="0" borderId="9" xfId="5" applyFont="1" applyBorder="1" applyAlignment="1">
      <alignment horizontal="center" vertical="center"/>
    </xf>
    <xf numFmtId="0" fontId="17" fillId="0" borderId="8" xfId="5" applyFont="1" applyBorder="1" applyAlignment="1">
      <alignment horizontal="center" vertical="center"/>
    </xf>
    <xf numFmtId="0" fontId="17" fillId="0" borderId="7" xfId="5" applyFont="1" applyBorder="1" applyAlignment="1">
      <alignment horizontal="center" vertical="center"/>
    </xf>
    <xf numFmtId="0" fontId="17" fillId="0" borderId="9" xfId="5" applyFont="1" applyBorder="1" applyAlignment="1">
      <alignment horizontal="center" vertical="center"/>
    </xf>
    <xf numFmtId="0" fontId="17" fillId="0" borderId="8" xfId="5" applyFont="1" applyBorder="1" applyAlignment="1">
      <alignment horizontal="center" vertical="center" wrapText="1"/>
    </xf>
    <xf numFmtId="0" fontId="17" fillId="0" borderId="7" xfId="5" applyFont="1" applyBorder="1" applyAlignment="1">
      <alignment horizontal="center" vertical="center" wrapText="1"/>
    </xf>
    <xf numFmtId="0" fontId="17" fillId="0" borderId="9" xfId="5" applyFont="1" applyBorder="1" applyAlignment="1">
      <alignment horizontal="center" vertical="center" wrapText="1"/>
    </xf>
    <xf numFmtId="0" fontId="17" fillId="0" borderId="2" xfId="5" applyFont="1" applyBorder="1" applyAlignment="1">
      <alignment horizontal="center" vertical="center" wrapText="1"/>
    </xf>
    <xf numFmtId="0" fontId="17" fillId="0" borderId="2" xfId="5" applyFont="1" applyBorder="1" applyAlignment="1">
      <alignment horizontal="center" vertical="center"/>
    </xf>
    <xf numFmtId="0" fontId="42" fillId="0" borderId="5" xfId="0" applyFont="1" applyBorder="1" applyAlignment="1">
      <alignment horizontal="center" vertical="center" wrapText="1"/>
    </xf>
    <xf numFmtId="0" fontId="42" fillId="0" borderId="6" xfId="0" applyFont="1" applyBorder="1" applyAlignment="1">
      <alignment horizontal="center" vertical="center" wrapText="1"/>
    </xf>
    <xf numFmtId="0" fontId="30" fillId="0" borderId="0" xfId="7" applyFont="1" applyAlignment="1">
      <alignment horizontal="left" wrapText="1"/>
    </xf>
    <xf numFmtId="0" fontId="55" fillId="0" borderId="0" xfId="0" applyFont="1" applyAlignment="1">
      <alignment horizontal="center"/>
    </xf>
    <xf numFmtId="0" fontId="42" fillId="0" borderId="4" xfId="0" applyFont="1" applyBorder="1" applyAlignment="1">
      <alignment horizontal="center" vertical="center" wrapText="1"/>
    </xf>
    <xf numFmtId="0" fontId="30" fillId="0" borderId="0" xfId="5" applyFont="1" applyAlignment="1">
      <alignment wrapText="1"/>
    </xf>
    <xf numFmtId="0" fontId="42" fillId="0" borderId="0" xfId="0" applyFont="1" applyAlignment="1">
      <alignment horizontal="center" vertical="center" wrapText="1"/>
    </xf>
    <xf numFmtId="0" fontId="30" fillId="0" borderId="0" xfId="9" applyFont="1" applyAlignment="1">
      <alignment horizontal="left" wrapText="1"/>
    </xf>
    <xf numFmtId="0" fontId="42" fillId="0" borderId="4" xfId="11" applyFont="1" applyBorder="1" applyAlignment="1">
      <alignment horizontal="center" vertical="center" wrapText="1"/>
    </xf>
    <xf numFmtId="0" fontId="42" fillId="0" borderId="5" xfId="11" applyFont="1" applyBorder="1" applyAlignment="1">
      <alignment horizontal="center" vertical="center" wrapText="1"/>
    </xf>
    <xf numFmtId="0" fontId="42" fillId="0" borderId="6" xfId="11" applyFont="1" applyBorder="1" applyAlignment="1">
      <alignment horizontal="center" vertical="center" wrapText="1"/>
    </xf>
    <xf numFmtId="170" fontId="0" fillId="0" borderId="0" xfId="0" applyNumberFormat="1" applyAlignment="1">
      <alignment horizontal="center" vertical="center"/>
    </xf>
  </cellXfs>
  <cellStyles count="13">
    <cellStyle name="Вывод" xfId="4" builtinId="21"/>
    <cellStyle name="Обычный" xfId="0" builtinId="0"/>
    <cellStyle name="Обычный 2" xfId="5" xr:uid="{00000000-0005-0000-0000-000002000000}"/>
    <cellStyle name="Обычный 2 2" xfId="7" xr:uid="{00000000-0005-0000-0000-000003000000}"/>
    <cellStyle name="Обычный 3" xfId="9" xr:uid="{00000000-0005-0000-0000-000004000000}"/>
    <cellStyle name="Обычный 4" xfId="11" xr:uid="{A806CBF6-B625-D341-A3FA-7225A427783E}"/>
    <cellStyle name="Обычный 4 2" xfId="12" xr:uid="{37AC883F-070E-1D46-9FF6-4F6B52EA8A84}"/>
    <cellStyle name="Обычный_40(4) NEW1" xfId="8" xr:uid="{00000000-0005-0000-0000-000005000000}"/>
    <cellStyle name="Обычный_ШБС-01 мини Т" xfId="10" xr:uid="{00000000-0005-0000-0000-000006000000}"/>
    <cellStyle name="Плохой" xfId="3" builtinId="27"/>
    <cellStyle name="Процентный" xfId="1" builtinId="5"/>
    <cellStyle name="Процентный 2" xfId="6" xr:uid="{00000000-0005-0000-0000-000009000000}"/>
    <cellStyle name="Хороший" xfId="2" builtinId="26"/>
  </cellStyles>
  <dxfs count="30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Volumes/CERRERA/&#1088;&#1072;&#1073;&#1086;&#1090;&#1072;/&#1040;&#1085;&#1072;&#1083;&#1080;&#1079;%20&#1086;&#1079;&#1086;&#1085;.xlsx" TargetMode="External"/><Relationship Id="rId1" Type="http://schemas.openxmlformats.org/officeDocument/2006/relationships/externalLinkPath" Target="/Volumes/CERRERA/&#1088;&#1072;&#1073;&#1086;&#1090;&#1072;/&#1040;&#1085;&#1072;&#1083;&#1080;&#1079;%20&#1086;&#1079;&#1086;&#108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Тарифы"/>
      <sheetName val="Калькуляция"/>
      <sheetName val="Общая комиссия"/>
      <sheetName val="Логистика"/>
      <sheetName val="Коэффиценты"/>
      <sheetName val="Вознаграждение МП"/>
      <sheetName val="Прайс СТЕЛЛАЖИ"/>
      <sheetName val="Прайс ЯП"/>
      <sheetName val="Прайс КЛЮЧНИЦЫ"/>
      <sheetName val="Прайс СЕЙФЫ ШБС"/>
      <sheetName val="Прайс АПТЕЧКА"/>
      <sheetName val="Прайс СЕЙФЫ СМ"/>
      <sheetName val="40(4) NEW"/>
      <sheetName val="40(6) NEW"/>
      <sheetName val="50(4) NEW"/>
      <sheetName val="СПЭ(4)"/>
      <sheetName val="СПЭ(5)"/>
      <sheetName val="СМ-50Э"/>
      <sheetName val="СМ-50"/>
      <sheetName val="СМ-30Э"/>
      <sheetName val="СМ-30"/>
      <sheetName val="СМ-25Э"/>
      <sheetName val="СМ-25"/>
      <sheetName val="СМ-23Э"/>
      <sheetName val="СМ-23"/>
      <sheetName val="СМ-20"/>
      <sheetName val="СМ-20Э"/>
      <sheetName val="ШБС-01 мини"/>
      <sheetName val="ШБС-01 мини Т"/>
      <sheetName val="АМУ-1"/>
      <sheetName val="ЯП-04 NEW"/>
      <sheetName val="ЯП-05 NEW"/>
      <sheetName val="ЯП-06 NEW"/>
      <sheetName val="ЯП-08 NEW"/>
      <sheetName val="К-20"/>
      <sheetName val="К-40"/>
      <sheetName val="К-60"/>
      <sheetName val="К-148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38">
          <cell r="F38">
            <v>65.45</v>
          </cell>
        </row>
        <row r="44">
          <cell r="F44">
            <v>2989.3847382621411</v>
          </cell>
        </row>
      </sheetData>
      <sheetData sheetId="13">
        <row r="38">
          <cell r="F38">
            <v>67.849999999999994</v>
          </cell>
        </row>
        <row r="44">
          <cell r="F44">
            <v>3879.6070994002121</v>
          </cell>
        </row>
      </sheetData>
      <sheetData sheetId="14">
        <row r="38">
          <cell r="F38">
            <v>73.55</v>
          </cell>
        </row>
        <row r="44">
          <cell r="F44">
            <v>3278.2867723818536</v>
          </cell>
        </row>
      </sheetData>
      <sheetData sheetId="15">
        <row r="42">
          <cell r="S42">
            <v>2217.5729307581696</v>
          </cell>
        </row>
        <row r="43">
          <cell r="S43">
            <v>2930.2499055790263</v>
          </cell>
        </row>
      </sheetData>
      <sheetData sheetId="16">
        <row r="36">
          <cell r="U36">
            <v>2441.8471913453732</v>
          </cell>
        </row>
      </sheetData>
      <sheetData sheetId="17">
        <row r="47">
          <cell r="F47">
            <v>160.78</v>
          </cell>
        </row>
        <row r="53">
          <cell r="F53">
            <v>3508.7895826663689</v>
          </cell>
        </row>
      </sheetData>
      <sheetData sheetId="18">
        <row r="42">
          <cell r="F42">
            <v>160.78</v>
          </cell>
        </row>
        <row r="48">
          <cell r="F48">
            <v>3079.650949391651</v>
          </cell>
        </row>
      </sheetData>
      <sheetData sheetId="19">
        <row r="47">
          <cell r="F47">
            <v>114.48</v>
          </cell>
        </row>
        <row r="53">
          <cell r="F53">
            <v>2995.3995715279539</v>
          </cell>
        </row>
      </sheetData>
      <sheetData sheetId="20">
        <row r="39">
          <cell r="F39">
            <v>122.56</v>
          </cell>
        </row>
        <row r="45">
          <cell r="F45">
            <v>2459.6738183630491</v>
          </cell>
        </row>
      </sheetData>
      <sheetData sheetId="21">
        <row r="44">
          <cell r="F44">
            <v>114.48</v>
          </cell>
        </row>
        <row r="50">
          <cell r="F50">
            <v>2524.0205823120855</v>
          </cell>
        </row>
      </sheetData>
      <sheetData sheetId="22">
        <row r="39">
          <cell r="F39">
            <v>114.48</v>
          </cell>
        </row>
        <row r="45">
          <cell r="F45">
            <v>2108.7968029656568</v>
          </cell>
        </row>
      </sheetData>
      <sheetData sheetId="23">
        <row r="44">
          <cell r="F44">
            <v>144.12</v>
          </cell>
        </row>
        <row r="50">
          <cell r="F50">
            <v>2848.9183962273537</v>
          </cell>
        </row>
      </sheetData>
      <sheetData sheetId="24">
        <row r="42">
          <cell r="F42">
            <v>144.12</v>
          </cell>
        </row>
        <row r="48">
          <cell r="F48">
            <v>2472.0470267961091</v>
          </cell>
        </row>
      </sheetData>
      <sheetData sheetId="25">
        <row r="39">
          <cell r="F39">
            <v>107.08</v>
          </cell>
        </row>
        <row r="45">
          <cell r="F45">
            <v>1881.0008341244977</v>
          </cell>
        </row>
      </sheetData>
      <sheetData sheetId="26">
        <row r="47">
          <cell r="F47">
            <v>107.08</v>
          </cell>
        </row>
        <row r="53">
          <cell r="F53">
            <v>2266.2666701052849</v>
          </cell>
        </row>
      </sheetData>
      <sheetData sheetId="27">
        <row r="43">
          <cell r="F43">
            <v>155.83000000000001</v>
          </cell>
        </row>
        <row r="49">
          <cell r="F49">
            <v>2822.873011643841</v>
          </cell>
        </row>
      </sheetData>
      <sheetData sheetId="28">
        <row r="42">
          <cell r="F42">
            <v>155.83000000000001</v>
          </cell>
        </row>
        <row r="48">
          <cell r="F48">
            <v>3015.5562633192662</v>
          </cell>
        </row>
      </sheetData>
      <sheetData sheetId="29">
        <row r="37">
          <cell r="F37">
            <v>12.83</v>
          </cell>
        </row>
        <row r="43">
          <cell r="F43">
            <v>572.77606905576999</v>
          </cell>
        </row>
      </sheetData>
      <sheetData sheetId="30">
        <row r="33">
          <cell r="F33">
            <v>151.96</v>
          </cell>
        </row>
        <row r="39">
          <cell r="F39">
            <v>1105.1661064404491</v>
          </cell>
        </row>
      </sheetData>
      <sheetData sheetId="31">
        <row r="33">
          <cell r="F33">
            <v>156.26</v>
          </cell>
        </row>
        <row r="39">
          <cell r="F39">
            <v>1304.5658123421504</v>
          </cell>
        </row>
      </sheetData>
      <sheetData sheetId="32">
        <row r="33">
          <cell r="F33">
            <v>157.84</v>
          </cell>
        </row>
        <row r="39">
          <cell r="F39">
            <v>1359.2851869906083</v>
          </cell>
        </row>
      </sheetData>
      <sheetData sheetId="33">
        <row r="33">
          <cell r="F33">
            <v>168.36</v>
          </cell>
        </row>
        <row r="39">
          <cell r="F39">
            <v>1900.9093834985729</v>
          </cell>
        </row>
      </sheetData>
      <sheetData sheetId="34">
        <row r="35">
          <cell r="F35">
            <v>16.91</v>
          </cell>
        </row>
        <row r="41">
          <cell r="F41">
            <v>323.96291886711202</v>
          </cell>
        </row>
      </sheetData>
      <sheetData sheetId="35">
        <row r="38">
          <cell r="F38">
            <v>30.41</v>
          </cell>
        </row>
        <row r="44">
          <cell r="F44">
            <v>767.1805814093334</v>
          </cell>
        </row>
      </sheetData>
      <sheetData sheetId="36">
        <row r="38">
          <cell r="F38">
            <v>30.41</v>
          </cell>
        </row>
        <row r="44">
          <cell r="F44">
            <v>909.71250317396812</v>
          </cell>
        </row>
      </sheetData>
      <sheetData sheetId="37">
        <row r="40">
          <cell r="F40">
            <v>31.63</v>
          </cell>
        </row>
        <row r="46">
          <cell r="F46">
            <v>1636.5421306856529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D7FEECF-0C94-1142-A1E5-512A45FF16E2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dba46a7b-271a-4f5a-8df6-cd7f8c884faa&quot;"/>
  </we:properties>
  <we:bindings/>
  <we:snapshot xmlns:r="http://schemas.openxmlformats.org/officeDocument/2006/relationships"/>
</we:webextension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50"/>
  <sheetViews>
    <sheetView zoomScale="90" zoomScaleNormal="90" workbookViewId="0">
      <selection activeCell="A29" sqref="A29:R35"/>
    </sheetView>
  </sheetViews>
  <sheetFormatPr baseColWidth="10" defaultColWidth="11" defaultRowHeight="16"/>
  <cols>
    <col min="1" max="1" width="16" bestFit="1" customWidth="1"/>
    <col min="2" max="2" width="12.6640625" customWidth="1"/>
    <col min="3" max="3" width="12.5" bestFit="1" customWidth="1"/>
    <col min="9" max="9" width="14.1640625" customWidth="1"/>
    <col min="13" max="13" width="24.6640625" bestFit="1" customWidth="1"/>
    <col min="15" max="15" width="14" bestFit="1" customWidth="1"/>
    <col min="28" max="28" width="13.1640625" bestFit="1" customWidth="1"/>
  </cols>
  <sheetData>
    <row r="1" spans="1:29" ht="51">
      <c r="A1" s="1" t="s">
        <v>0</v>
      </c>
      <c r="B1" s="1" t="s">
        <v>1</v>
      </c>
      <c r="C1" s="1" t="s">
        <v>4</v>
      </c>
      <c r="D1" s="336" t="s">
        <v>73</v>
      </c>
      <c r="E1" s="27" t="s">
        <v>6</v>
      </c>
      <c r="F1" s="27" t="s">
        <v>7</v>
      </c>
      <c r="G1" s="30" t="s">
        <v>8</v>
      </c>
      <c r="H1" s="30" t="s">
        <v>9</v>
      </c>
      <c r="I1" s="30" t="s">
        <v>10</v>
      </c>
      <c r="J1" s="30" t="s">
        <v>11</v>
      </c>
      <c r="K1" s="30" t="s">
        <v>5</v>
      </c>
      <c r="L1" s="30" t="s">
        <v>12</v>
      </c>
      <c r="M1" s="27" t="s">
        <v>13</v>
      </c>
      <c r="N1" s="27" t="s">
        <v>14</v>
      </c>
      <c r="O1" s="31" t="s">
        <v>15</v>
      </c>
      <c r="P1" s="31" t="s">
        <v>16</v>
      </c>
      <c r="Q1" s="30" t="s">
        <v>17</v>
      </c>
      <c r="R1" s="30" t="s">
        <v>18</v>
      </c>
      <c r="S1" s="30" t="s">
        <v>19</v>
      </c>
      <c r="T1" s="30" t="s">
        <v>20</v>
      </c>
      <c r="U1" s="27" t="s">
        <v>21</v>
      </c>
      <c r="V1" s="27" t="s">
        <v>22</v>
      </c>
      <c r="W1" s="30" t="s">
        <v>23</v>
      </c>
      <c r="X1" s="30" t="s">
        <v>24</v>
      </c>
      <c r="Y1" s="30" t="s">
        <v>25</v>
      </c>
      <c r="Z1" s="30" t="s">
        <v>26</v>
      </c>
      <c r="AB1" s="32" t="s">
        <v>122</v>
      </c>
      <c r="AC1" s="6" t="s">
        <v>4</v>
      </c>
    </row>
    <row r="2" spans="1:29">
      <c r="A2" s="1" t="s">
        <v>27</v>
      </c>
      <c r="B2" s="1">
        <v>348</v>
      </c>
      <c r="C2" s="1">
        <v>1859</v>
      </c>
      <c r="D2" s="337"/>
      <c r="E2" s="7">
        <f>2.4*C2</f>
        <v>4461.5999999999995</v>
      </c>
      <c r="F2" s="7">
        <f>1.7*C2</f>
        <v>3160.2999999999997</v>
      </c>
      <c r="G2" s="7">
        <f>1.5*C2</f>
        <v>2788.5</v>
      </c>
      <c r="H2" s="7">
        <f>1.4*C2</f>
        <v>2602.6</v>
      </c>
      <c r="I2" s="7">
        <f>1.3*C2</f>
        <v>2416.7000000000003</v>
      </c>
      <c r="J2" s="7">
        <f>1.2*C2</f>
        <v>2230.7999999999997</v>
      </c>
      <c r="K2" s="7">
        <f>1*C2</f>
        <v>1859</v>
      </c>
      <c r="L2" s="7">
        <f>1.1*C2</f>
        <v>2044.9</v>
      </c>
      <c r="M2" s="7">
        <f>1.7*C2</f>
        <v>3160.2999999999997</v>
      </c>
      <c r="N2" s="7">
        <f>1.7*C2</f>
        <v>3160.2999999999997</v>
      </c>
      <c r="O2" s="7">
        <f>1.6*C2</f>
        <v>2974.4</v>
      </c>
      <c r="P2" s="7">
        <f>1.6*C2</f>
        <v>2974.4</v>
      </c>
      <c r="Q2" s="7">
        <f>1.1*C2</f>
        <v>2044.9</v>
      </c>
      <c r="R2" s="7">
        <f>1.3*C2</f>
        <v>2416.7000000000003</v>
      </c>
      <c r="S2" s="7">
        <f>1.6*C2</f>
        <v>2974.4</v>
      </c>
      <c r="T2" s="7">
        <f>1.3*C2</f>
        <v>2416.7000000000003</v>
      </c>
      <c r="U2" s="7">
        <f>1.7*C2</f>
        <v>3160.2999999999997</v>
      </c>
      <c r="V2" s="7">
        <f>1.7*C2</f>
        <v>3160.2999999999997</v>
      </c>
      <c r="W2" s="7">
        <f>1.2*C2</f>
        <v>2230.7999999999997</v>
      </c>
      <c r="X2" s="7">
        <f>1.3*C2</f>
        <v>2416.7000000000003</v>
      </c>
      <c r="Y2" s="7">
        <f>1.6*C2</f>
        <v>2974.4</v>
      </c>
      <c r="Z2" s="7">
        <f>1.3*C2</f>
        <v>2416.7000000000003</v>
      </c>
      <c r="AB2" s="1" t="s">
        <v>123</v>
      </c>
      <c r="AC2" s="1">
        <v>50</v>
      </c>
    </row>
    <row r="3" spans="1:29">
      <c r="A3" s="1" t="s">
        <v>28</v>
      </c>
      <c r="B3" s="1">
        <v>348</v>
      </c>
      <c r="C3" s="1">
        <v>1859</v>
      </c>
      <c r="D3" s="337"/>
      <c r="E3" s="7">
        <f t="shared" ref="E3:E27" si="0">2.4*C3</f>
        <v>4461.5999999999995</v>
      </c>
      <c r="F3" s="7">
        <f t="shared" ref="F3:F27" si="1">1.7*C3</f>
        <v>3160.2999999999997</v>
      </c>
      <c r="G3" s="7">
        <f t="shared" ref="G3:G27" si="2">1.5*C3</f>
        <v>2788.5</v>
      </c>
      <c r="H3" s="7">
        <f t="shared" ref="H3:H27" si="3">1.4*C3</f>
        <v>2602.6</v>
      </c>
      <c r="I3" s="7">
        <f t="shared" ref="I3:I27" si="4">1.3*C3</f>
        <v>2416.7000000000003</v>
      </c>
      <c r="J3" s="7">
        <f t="shared" ref="J3:J27" si="5">1.2*C3</f>
        <v>2230.7999999999997</v>
      </c>
      <c r="K3" s="7">
        <f t="shared" ref="K3:K27" si="6">1*C3</f>
        <v>1859</v>
      </c>
      <c r="L3" s="7">
        <f t="shared" ref="L3:L27" si="7">1.1*C3</f>
        <v>2044.9</v>
      </c>
      <c r="M3" s="7">
        <f t="shared" ref="M3:M27" si="8">1.7*C3</f>
        <v>3160.2999999999997</v>
      </c>
      <c r="N3" s="7">
        <f t="shared" ref="N3:N27" si="9">1.7*C3</f>
        <v>3160.2999999999997</v>
      </c>
      <c r="O3" s="7">
        <f t="shared" ref="O3:O27" si="10">1.6*C3</f>
        <v>2974.4</v>
      </c>
      <c r="P3" s="7">
        <f t="shared" ref="P3:P27" si="11">1.6*C3</f>
        <v>2974.4</v>
      </c>
      <c r="Q3" s="7">
        <f t="shared" ref="Q3:Q27" si="12">1.1*C3</f>
        <v>2044.9</v>
      </c>
      <c r="R3" s="7">
        <f t="shared" ref="R3:R27" si="13">1.3*C3</f>
        <v>2416.7000000000003</v>
      </c>
      <c r="S3" s="7">
        <f t="shared" ref="S3:S27" si="14">1.6*C3</f>
        <v>2974.4</v>
      </c>
      <c r="T3" s="7">
        <f t="shared" ref="T3:T27" si="15">1.3*C3</f>
        <v>2416.7000000000003</v>
      </c>
      <c r="U3" s="7">
        <f t="shared" ref="U3:U27" si="16">1.7*C3</f>
        <v>3160.2999999999997</v>
      </c>
      <c r="V3" s="7">
        <f t="shared" ref="V3:V27" si="17">1.7*C3</f>
        <v>3160.2999999999997</v>
      </c>
      <c r="W3" s="7">
        <f t="shared" ref="W3:W27" si="18">1.2*C3</f>
        <v>2230.7999999999997</v>
      </c>
      <c r="X3" s="7">
        <f t="shared" ref="X3:X27" si="19">1.3*C3</f>
        <v>2416.7000000000003</v>
      </c>
      <c r="Y3" s="7">
        <f t="shared" ref="Y3:Y27" si="20">1.6*C3</f>
        <v>2974.4</v>
      </c>
      <c r="Z3" s="7">
        <f t="shared" ref="Z3:Z27" si="21">1.3*C3</f>
        <v>2416.7000000000003</v>
      </c>
      <c r="AB3" s="1" t="s">
        <v>124</v>
      </c>
      <c r="AC3" s="1">
        <v>55</v>
      </c>
    </row>
    <row r="4" spans="1:29">
      <c r="A4" s="1" t="s">
        <v>30</v>
      </c>
      <c r="B4" s="1">
        <v>37</v>
      </c>
      <c r="C4" s="1">
        <v>263</v>
      </c>
      <c r="D4" s="337"/>
      <c r="E4" s="7">
        <f t="shared" si="0"/>
        <v>631.19999999999993</v>
      </c>
      <c r="F4" s="7">
        <f t="shared" si="1"/>
        <v>447.09999999999997</v>
      </c>
      <c r="G4" s="7">
        <f t="shared" si="2"/>
        <v>394.5</v>
      </c>
      <c r="H4" s="7">
        <f t="shared" si="3"/>
        <v>368.2</v>
      </c>
      <c r="I4" s="7">
        <f t="shared" si="4"/>
        <v>341.90000000000003</v>
      </c>
      <c r="J4" s="7">
        <f t="shared" si="5"/>
        <v>315.59999999999997</v>
      </c>
      <c r="K4" s="7">
        <f t="shared" si="6"/>
        <v>263</v>
      </c>
      <c r="L4" s="7">
        <f t="shared" si="7"/>
        <v>289.3</v>
      </c>
      <c r="M4" s="7">
        <f t="shared" si="8"/>
        <v>447.09999999999997</v>
      </c>
      <c r="N4" s="7">
        <f t="shared" si="9"/>
        <v>447.09999999999997</v>
      </c>
      <c r="O4" s="7">
        <f t="shared" si="10"/>
        <v>420.8</v>
      </c>
      <c r="P4" s="7">
        <f t="shared" si="11"/>
        <v>420.8</v>
      </c>
      <c r="Q4" s="7">
        <f t="shared" si="12"/>
        <v>289.3</v>
      </c>
      <c r="R4" s="7">
        <f t="shared" si="13"/>
        <v>341.90000000000003</v>
      </c>
      <c r="S4" s="7">
        <f t="shared" si="14"/>
        <v>420.8</v>
      </c>
      <c r="T4" s="7">
        <f t="shared" si="15"/>
        <v>341.90000000000003</v>
      </c>
      <c r="U4" s="7">
        <f t="shared" si="16"/>
        <v>447.09999999999997</v>
      </c>
      <c r="V4" s="7">
        <f t="shared" si="17"/>
        <v>447.09999999999997</v>
      </c>
      <c r="W4" s="7">
        <f t="shared" si="18"/>
        <v>315.59999999999997</v>
      </c>
      <c r="X4" s="7">
        <f t="shared" si="19"/>
        <v>341.90000000000003</v>
      </c>
      <c r="Y4" s="7">
        <f t="shared" si="20"/>
        <v>420.8</v>
      </c>
      <c r="Z4" s="7">
        <f t="shared" si="21"/>
        <v>341.90000000000003</v>
      </c>
      <c r="AB4" s="1" t="s">
        <v>125</v>
      </c>
      <c r="AC4" s="1">
        <v>58</v>
      </c>
    </row>
    <row r="5" spans="1:29">
      <c r="A5" s="1" t="s">
        <v>29</v>
      </c>
      <c r="B5" s="1">
        <v>37</v>
      </c>
      <c r="C5" s="1">
        <v>263</v>
      </c>
      <c r="D5" s="337"/>
      <c r="E5" s="7">
        <f t="shared" si="0"/>
        <v>631.19999999999993</v>
      </c>
      <c r="F5" s="7">
        <f t="shared" si="1"/>
        <v>447.09999999999997</v>
      </c>
      <c r="G5" s="7">
        <f t="shared" si="2"/>
        <v>394.5</v>
      </c>
      <c r="H5" s="7">
        <f t="shared" si="3"/>
        <v>368.2</v>
      </c>
      <c r="I5" s="7">
        <f t="shared" si="4"/>
        <v>341.90000000000003</v>
      </c>
      <c r="J5" s="7">
        <f t="shared" si="5"/>
        <v>315.59999999999997</v>
      </c>
      <c r="K5" s="7">
        <f t="shared" si="6"/>
        <v>263</v>
      </c>
      <c r="L5" s="7">
        <f t="shared" si="7"/>
        <v>289.3</v>
      </c>
      <c r="M5" s="7">
        <f t="shared" si="8"/>
        <v>447.09999999999997</v>
      </c>
      <c r="N5" s="7">
        <f t="shared" si="9"/>
        <v>447.09999999999997</v>
      </c>
      <c r="O5" s="7">
        <f t="shared" si="10"/>
        <v>420.8</v>
      </c>
      <c r="P5" s="7">
        <f t="shared" si="11"/>
        <v>420.8</v>
      </c>
      <c r="Q5" s="7">
        <f t="shared" si="12"/>
        <v>289.3</v>
      </c>
      <c r="R5" s="7">
        <f t="shared" si="13"/>
        <v>341.90000000000003</v>
      </c>
      <c r="S5" s="7">
        <f t="shared" si="14"/>
        <v>420.8</v>
      </c>
      <c r="T5" s="7">
        <f t="shared" si="15"/>
        <v>341.90000000000003</v>
      </c>
      <c r="U5" s="7">
        <f t="shared" si="16"/>
        <v>447.09999999999997</v>
      </c>
      <c r="V5" s="7">
        <f t="shared" si="17"/>
        <v>447.09999999999997</v>
      </c>
      <c r="W5" s="7">
        <f t="shared" si="18"/>
        <v>315.59999999999997</v>
      </c>
      <c r="X5" s="7">
        <f t="shared" si="19"/>
        <v>341.90000000000003</v>
      </c>
      <c r="Y5" s="7">
        <f t="shared" si="20"/>
        <v>420.8</v>
      </c>
      <c r="Z5" s="7">
        <f t="shared" si="21"/>
        <v>341.90000000000003</v>
      </c>
      <c r="AB5" s="1" t="s">
        <v>126</v>
      </c>
      <c r="AC5" s="1">
        <v>61</v>
      </c>
    </row>
    <row r="6" spans="1:29">
      <c r="A6" s="1" t="s">
        <v>31</v>
      </c>
      <c r="B6" s="1">
        <v>59</v>
      </c>
      <c r="C6" s="1">
        <v>334</v>
      </c>
      <c r="D6" s="337"/>
      <c r="E6" s="7">
        <f t="shared" si="0"/>
        <v>801.6</v>
      </c>
      <c r="F6" s="7">
        <f t="shared" si="1"/>
        <v>567.79999999999995</v>
      </c>
      <c r="G6" s="7">
        <f t="shared" si="2"/>
        <v>501</v>
      </c>
      <c r="H6" s="7">
        <f t="shared" si="3"/>
        <v>467.59999999999997</v>
      </c>
      <c r="I6" s="7">
        <f t="shared" si="4"/>
        <v>434.2</v>
      </c>
      <c r="J6" s="7">
        <f t="shared" si="5"/>
        <v>400.8</v>
      </c>
      <c r="K6" s="7">
        <f t="shared" si="6"/>
        <v>334</v>
      </c>
      <c r="L6" s="7">
        <f t="shared" si="7"/>
        <v>367.40000000000003</v>
      </c>
      <c r="M6" s="7">
        <f t="shared" si="8"/>
        <v>567.79999999999995</v>
      </c>
      <c r="N6" s="7">
        <f t="shared" si="9"/>
        <v>567.79999999999995</v>
      </c>
      <c r="O6" s="7">
        <f t="shared" si="10"/>
        <v>534.4</v>
      </c>
      <c r="P6" s="7">
        <f t="shared" si="11"/>
        <v>534.4</v>
      </c>
      <c r="Q6" s="7">
        <f t="shared" si="12"/>
        <v>367.40000000000003</v>
      </c>
      <c r="R6" s="7">
        <f t="shared" si="13"/>
        <v>434.2</v>
      </c>
      <c r="S6" s="7">
        <f t="shared" si="14"/>
        <v>534.4</v>
      </c>
      <c r="T6" s="7">
        <f t="shared" si="15"/>
        <v>434.2</v>
      </c>
      <c r="U6" s="7">
        <f t="shared" si="16"/>
        <v>567.79999999999995</v>
      </c>
      <c r="V6" s="7">
        <f t="shared" si="17"/>
        <v>567.79999999999995</v>
      </c>
      <c r="W6" s="7">
        <f t="shared" si="18"/>
        <v>400.8</v>
      </c>
      <c r="X6" s="7">
        <f t="shared" si="19"/>
        <v>434.2</v>
      </c>
      <c r="Y6" s="7">
        <f t="shared" si="20"/>
        <v>534.4</v>
      </c>
      <c r="Z6" s="7">
        <f t="shared" si="21"/>
        <v>434.2</v>
      </c>
      <c r="AB6" s="1" t="s">
        <v>127</v>
      </c>
      <c r="AC6" s="1">
        <v>63</v>
      </c>
    </row>
    <row r="7" spans="1:29">
      <c r="A7" s="1" t="s">
        <v>32</v>
      </c>
      <c r="B7" s="1">
        <v>59</v>
      </c>
      <c r="C7" s="1">
        <v>334</v>
      </c>
      <c r="D7" s="337"/>
      <c r="E7" s="7">
        <f t="shared" si="0"/>
        <v>801.6</v>
      </c>
      <c r="F7" s="7">
        <f t="shared" si="1"/>
        <v>567.79999999999995</v>
      </c>
      <c r="G7" s="7">
        <f t="shared" si="2"/>
        <v>501</v>
      </c>
      <c r="H7" s="7">
        <f t="shared" si="3"/>
        <v>467.59999999999997</v>
      </c>
      <c r="I7" s="7">
        <f t="shared" si="4"/>
        <v>434.2</v>
      </c>
      <c r="J7" s="7">
        <f t="shared" si="5"/>
        <v>400.8</v>
      </c>
      <c r="K7" s="7">
        <f t="shared" si="6"/>
        <v>334</v>
      </c>
      <c r="L7" s="7">
        <f t="shared" si="7"/>
        <v>367.40000000000003</v>
      </c>
      <c r="M7" s="7">
        <f t="shared" si="8"/>
        <v>567.79999999999995</v>
      </c>
      <c r="N7" s="7">
        <f t="shared" si="9"/>
        <v>567.79999999999995</v>
      </c>
      <c r="O7" s="7">
        <f t="shared" si="10"/>
        <v>534.4</v>
      </c>
      <c r="P7" s="7">
        <f t="shared" si="11"/>
        <v>534.4</v>
      </c>
      <c r="Q7" s="7">
        <f t="shared" si="12"/>
        <v>367.40000000000003</v>
      </c>
      <c r="R7" s="7">
        <f t="shared" si="13"/>
        <v>434.2</v>
      </c>
      <c r="S7" s="7">
        <f t="shared" si="14"/>
        <v>534.4</v>
      </c>
      <c r="T7" s="7">
        <f t="shared" si="15"/>
        <v>434.2</v>
      </c>
      <c r="U7" s="7">
        <f t="shared" si="16"/>
        <v>567.79999999999995</v>
      </c>
      <c r="V7" s="7">
        <f t="shared" si="17"/>
        <v>567.79999999999995</v>
      </c>
      <c r="W7" s="7">
        <f t="shared" si="18"/>
        <v>400.8</v>
      </c>
      <c r="X7" s="7">
        <f t="shared" si="19"/>
        <v>434.2</v>
      </c>
      <c r="Y7" s="7">
        <f t="shared" si="20"/>
        <v>534.4</v>
      </c>
      <c r="Z7" s="7">
        <f t="shared" si="21"/>
        <v>434.2</v>
      </c>
      <c r="AB7" s="1" t="s">
        <v>128</v>
      </c>
      <c r="AC7" s="1">
        <v>71</v>
      </c>
    </row>
    <row r="8" spans="1:29">
      <c r="A8" s="1" t="s">
        <v>33</v>
      </c>
      <c r="B8" s="1">
        <v>24</v>
      </c>
      <c r="C8" s="1">
        <v>210</v>
      </c>
      <c r="D8" s="337"/>
      <c r="E8" s="7">
        <f t="shared" si="0"/>
        <v>504</v>
      </c>
      <c r="F8" s="7">
        <f t="shared" si="1"/>
        <v>357</v>
      </c>
      <c r="G8" s="7">
        <f t="shared" si="2"/>
        <v>315</v>
      </c>
      <c r="H8" s="7">
        <f t="shared" si="3"/>
        <v>294</v>
      </c>
      <c r="I8" s="7">
        <f t="shared" si="4"/>
        <v>273</v>
      </c>
      <c r="J8" s="7">
        <f t="shared" si="5"/>
        <v>252</v>
      </c>
      <c r="K8" s="7">
        <f t="shared" si="6"/>
        <v>210</v>
      </c>
      <c r="L8" s="7">
        <f t="shared" si="7"/>
        <v>231.00000000000003</v>
      </c>
      <c r="M8" s="7">
        <f t="shared" si="8"/>
        <v>357</v>
      </c>
      <c r="N8" s="7">
        <f t="shared" si="9"/>
        <v>357</v>
      </c>
      <c r="O8" s="7">
        <f t="shared" si="10"/>
        <v>336</v>
      </c>
      <c r="P8" s="7">
        <f t="shared" si="11"/>
        <v>336</v>
      </c>
      <c r="Q8" s="7">
        <f t="shared" si="12"/>
        <v>231.00000000000003</v>
      </c>
      <c r="R8" s="7">
        <f t="shared" si="13"/>
        <v>273</v>
      </c>
      <c r="S8" s="7">
        <f t="shared" si="14"/>
        <v>336</v>
      </c>
      <c r="T8" s="7">
        <f t="shared" si="15"/>
        <v>273</v>
      </c>
      <c r="U8" s="7">
        <f t="shared" si="16"/>
        <v>357</v>
      </c>
      <c r="V8" s="7">
        <f t="shared" si="17"/>
        <v>357</v>
      </c>
      <c r="W8" s="7">
        <f t="shared" si="18"/>
        <v>252</v>
      </c>
      <c r="X8" s="7">
        <f t="shared" si="19"/>
        <v>273</v>
      </c>
      <c r="Y8" s="7">
        <f t="shared" si="20"/>
        <v>336</v>
      </c>
      <c r="Z8" s="7">
        <f t="shared" si="21"/>
        <v>273</v>
      </c>
      <c r="AB8" s="1" t="s">
        <v>129</v>
      </c>
      <c r="AC8" s="1">
        <v>74</v>
      </c>
    </row>
    <row r="9" spans="1:29">
      <c r="A9" s="1" t="s">
        <v>34</v>
      </c>
      <c r="B9" s="1">
        <v>24</v>
      </c>
      <c r="C9" s="1">
        <v>210</v>
      </c>
      <c r="D9" s="337"/>
      <c r="E9" s="7">
        <f t="shared" si="0"/>
        <v>504</v>
      </c>
      <c r="F9" s="7">
        <f t="shared" si="1"/>
        <v>357</v>
      </c>
      <c r="G9" s="7">
        <f t="shared" si="2"/>
        <v>315</v>
      </c>
      <c r="H9" s="7">
        <f t="shared" si="3"/>
        <v>294</v>
      </c>
      <c r="I9" s="7">
        <f t="shared" si="4"/>
        <v>273</v>
      </c>
      <c r="J9" s="7">
        <f t="shared" si="5"/>
        <v>252</v>
      </c>
      <c r="K9" s="7">
        <f t="shared" si="6"/>
        <v>210</v>
      </c>
      <c r="L9" s="7">
        <f t="shared" si="7"/>
        <v>231.00000000000003</v>
      </c>
      <c r="M9" s="7">
        <f t="shared" si="8"/>
        <v>357</v>
      </c>
      <c r="N9" s="7">
        <f t="shared" si="9"/>
        <v>357</v>
      </c>
      <c r="O9" s="7">
        <f t="shared" si="10"/>
        <v>336</v>
      </c>
      <c r="P9" s="7">
        <f t="shared" si="11"/>
        <v>336</v>
      </c>
      <c r="Q9" s="7">
        <f t="shared" si="12"/>
        <v>231.00000000000003</v>
      </c>
      <c r="R9" s="7">
        <f t="shared" si="13"/>
        <v>273</v>
      </c>
      <c r="S9" s="7">
        <f t="shared" si="14"/>
        <v>336</v>
      </c>
      <c r="T9" s="7">
        <f t="shared" si="15"/>
        <v>273</v>
      </c>
      <c r="U9" s="7">
        <f t="shared" si="16"/>
        <v>357</v>
      </c>
      <c r="V9" s="7">
        <f t="shared" si="17"/>
        <v>357</v>
      </c>
      <c r="W9" s="7">
        <f t="shared" si="18"/>
        <v>252</v>
      </c>
      <c r="X9" s="7">
        <f t="shared" si="19"/>
        <v>273</v>
      </c>
      <c r="Y9" s="7">
        <f t="shared" si="20"/>
        <v>336</v>
      </c>
      <c r="Z9" s="7">
        <f t="shared" si="21"/>
        <v>273</v>
      </c>
      <c r="AB9" s="1" t="s">
        <v>130</v>
      </c>
      <c r="AC9" s="1">
        <v>77</v>
      </c>
    </row>
    <row r="10" spans="1:29">
      <c r="A10" s="1" t="s">
        <v>35</v>
      </c>
      <c r="B10" s="1">
        <v>34</v>
      </c>
      <c r="C10" s="1">
        <v>215</v>
      </c>
      <c r="D10" s="337"/>
      <c r="E10" s="7">
        <f t="shared" si="0"/>
        <v>516</v>
      </c>
      <c r="F10" s="7">
        <f t="shared" si="1"/>
        <v>365.5</v>
      </c>
      <c r="G10" s="7">
        <f t="shared" si="2"/>
        <v>322.5</v>
      </c>
      <c r="H10" s="7">
        <f t="shared" si="3"/>
        <v>301</v>
      </c>
      <c r="I10" s="7">
        <f t="shared" si="4"/>
        <v>279.5</v>
      </c>
      <c r="J10" s="7">
        <f t="shared" si="5"/>
        <v>258</v>
      </c>
      <c r="K10" s="7">
        <f t="shared" si="6"/>
        <v>215</v>
      </c>
      <c r="L10" s="7">
        <f t="shared" si="7"/>
        <v>236.50000000000003</v>
      </c>
      <c r="M10" s="7">
        <f t="shared" si="8"/>
        <v>365.5</v>
      </c>
      <c r="N10" s="7">
        <f t="shared" si="9"/>
        <v>365.5</v>
      </c>
      <c r="O10" s="7">
        <f t="shared" si="10"/>
        <v>344</v>
      </c>
      <c r="P10" s="7">
        <f t="shared" si="11"/>
        <v>344</v>
      </c>
      <c r="Q10" s="7">
        <f t="shared" si="12"/>
        <v>236.50000000000003</v>
      </c>
      <c r="R10" s="7">
        <f t="shared" si="13"/>
        <v>279.5</v>
      </c>
      <c r="S10" s="7">
        <f t="shared" si="14"/>
        <v>344</v>
      </c>
      <c r="T10" s="7">
        <f t="shared" si="15"/>
        <v>279.5</v>
      </c>
      <c r="U10" s="7">
        <f t="shared" si="16"/>
        <v>365.5</v>
      </c>
      <c r="V10" s="7">
        <f t="shared" si="17"/>
        <v>365.5</v>
      </c>
      <c r="W10" s="7">
        <f t="shared" si="18"/>
        <v>258</v>
      </c>
      <c r="X10" s="7">
        <f t="shared" si="19"/>
        <v>279.5</v>
      </c>
      <c r="Y10" s="7">
        <f t="shared" si="20"/>
        <v>344</v>
      </c>
      <c r="Z10" s="7">
        <f t="shared" si="21"/>
        <v>279.5</v>
      </c>
      <c r="AB10" s="1" t="s">
        <v>131</v>
      </c>
      <c r="AC10" s="1">
        <v>81</v>
      </c>
    </row>
    <row r="11" spans="1:29">
      <c r="A11" s="1" t="s">
        <v>36</v>
      </c>
      <c r="B11" s="1">
        <v>35</v>
      </c>
      <c r="C11" s="1">
        <v>263</v>
      </c>
      <c r="D11" s="337"/>
      <c r="E11" s="7">
        <f t="shared" si="0"/>
        <v>631.19999999999993</v>
      </c>
      <c r="F11" s="7">
        <f t="shared" si="1"/>
        <v>447.09999999999997</v>
      </c>
      <c r="G11" s="7">
        <f t="shared" si="2"/>
        <v>394.5</v>
      </c>
      <c r="H11" s="7">
        <f t="shared" si="3"/>
        <v>368.2</v>
      </c>
      <c r="I11" s="7">
        <f t="shared" si="4"/>
        <v>341.90000000000003</v>
      </c>
      <c r="J11" s="7">
        <f t="shared" si="5"/>
        <v>315.59999999999997</v>
      </c>
      <c r="K11" s="7">
        <f t="shared" si="6"/>
        <v>263</v>
      </c>
      <c r="L11" s="7">
        <f t="shared" si="7"/>
        <v>289.3</v>
      </c>
      <c r="M11" s="7">
        <f t="shared" si="8"/>
        <v>447.09999999999997</v>
      </c>
      <c r="N11" s="7">
        <f t="shared" si="9"/>
        <v>447.09999999999997</v>
      </c>
      <c r="O11" s="7">
        <f t="shared" si="10"/>
        <v>420.8</v>
      </c>
      <c r="P11" s="7">
        <f t="shared" si="11"/>
        <v>420.8</v>
      </c>
      <c r="Q11" s="7">
        <f t="shared" si="12"/>
        <v>289.3</v>
      </c>
      <c r="R11" s="7">
        <f t="shared" si="13"/>
        <v>341.90000000000003</v>
      </c>
      <c r="S11" s="7">
        <f t="shared" si="14"/>
        <v>420.8</v>
      </c>
      <c r="T11" s="7">
        <f t="shared" si="15"/>
        <v>341.90000000000003</v>
      </c>
      <c r="U11" s="7">
        <f t="shared" si="16"/>
        <v>447.09999999999997</v>
      </c>
      <c r="V11" s="7">
        <f t="shared" si="17"/>
        <v>447.09999999999997</v>
      </c>
      <c r="W11" s="7">
        <f t="shared" si="18"/>
        <v>315.59999999999997</v>
      </c>
      <c r="X11" s="7">
        <f t="shared" si="19"/>
        <v>341.90000000000003</v>
      </c>
      <c r="Y11" s="7">
        <f t="shared" si="20"/>
        <v>420.8</v>
      </c>
      <c r="Z11" s="7">
        <f t="shared" si="21"/>
        <v>341.90000000000003</v>
      </c>
      <c r="AB11" s="1" t="s">
        <v>132</v>
      </c>
      <c r="AC11" s="1">
        <v>81</v>
      </c>
    </row>
    <row r="12" spans="1:29">
      <c r="A12" s="1" t="s">
        <v>37</v>
      </c>
      <c r="B12" s="1">
        <v>14</v>
      </c>
      <c r="C12" s="1">
        <v>170</v>
      </c>
      <c r="D12" s="337"/>
      <c r="E12" s="7">
        <f t="shared" si="0"/>
        <v>408</v>
      </c>
      <c r="F12" s="7">
        <f t="shared" si="1"/>
        <v>289</v>
      </c>
      <c r="G12" s="7">
        <f t="shared" si="2"/>
        <v>255</v>
      </c>
      <c r="H12" s="7">
        <f t="shared" si="3"/>
        <v>237.99999999999997</v>
      </c>
      <c r="I12" s="7">
        <f t="shared" si="4"/>
        <v>221</v>
      </c>
      <c r="J12" s="7">
        <f t="shared" si="5"/>
        <v>204</v>
      </c>
      <c r="K12" s="7">
        <f t="shared" si="6"/>
        <v>170</v>
      </c>
      <c r="L12" s="7">
        <f t="shared" si="7"/>
        <v>187.00000000000003</v>
      </c>
      <c r="M12" s="7">
        <f t="shared" si="8"/>
        <v>289</v>
      </c>
      <c r="N12" s="7">
        <f t="shared" si="9"/>
        <v>289</v>
      </c>
      <c r="O12" s="7">
        <f t="shared" si="10"/>
        <v>272</v>
      </c>
      <c r="P12" s="7">
        <f t="shared" si="11"/>
        <v>272</v>
      </c>
      <c r="Q12" s="7">
        <f t="shared" si="12"/>
        <v>187.00000000000003</v>
      </c>
      <c r="R12" s="7">
        <f t="shared" si="13"/>
        <v>221</v>
      </c>
      <c r="S12" s="7">
        <f t="shared" si="14"/>
        <v>272</v>
      </c>
      <c r="T12" s="7">
        <f t="shared" si="15"/>
        <v>221</v>
      </c>
      <c r="U12" s="7">
        <f t="shared" si="16"/>
        <v>289</v>
      </c>
      <c r="V12" s="7">
        <f t="shared" si="17"/>
        <v>289</v>
      </c>
      <c r="W12" s="7">
        <f t="shared" si="18"/>
        <v>204</v>
      </c>
      <c r="X12" s="7">
        <f t="shared" si="19"/>
        <v>221</v>
      </c>
      <c r="Y12" s="7">
        <f t="shared" si="20"/>
        <v>272</v>
      </c>
      <c r="Z12" s="7">
        <f t="shared" si="21"/>
        <v>221</v>
      </c>
      <c r="AB12" s="1" t="s">
        <v>133</v>
      </c>
      <c r="AC12" s="1">
        <v>87</v>
      </c>
    </row>
    <row r="13" spans="1:29">
      <c r="A13" s="1" t="s">
        <v>38</v>
      </c>
      <c r="B13" s="1">
        <v>14</v>
      </c>
      <c r="C13" s="1">
        <v>170</v>
      </c>
      <c r="D13" s="337"/>
      <c r="E13" s="7">
        <f t="shared" si="0"/>
        <v>408</v>
      </c>
      <c r="F13" s="7">
        <f t="shared" si="1"/>
        <v>289</v>
      </c>
      <c r="G13" s="7">
        <f t="shared" si="2"/>
        <v>255</v>
      </c>
      <c r="H13" s="7">
        <f t="shared" si="3"/>
        <v>237.99999999999997</v>
      </c>
      <c r="I13" s="7">
        <f t="shared" si="4"/>
        <v>221</v>
      </c>
      <c r="J13" s="7">
        <f t="shared" si="5"/>
        <v>204</v>
      </c>
      <c r="K13" s="7">
        <f t="shared" si="6"/>
        <v>170</v>
      </c>
      <c r="L13" s="7">
        <f t="shared" si="7"/>
        <v>187.00000000000003</v>
      </c>
      <c r="M13" s="7">
        <f t="shared" si="8"/>
        <v>289</v>
      </c>
      <c r="N13" s="7">
        <f t="shared" si="9"/>
        <v>289</v>
      </c>
      <c r="O13" s="7">
        <f t="shared" si="10"/>
        <v>272</v>
      </c>
      <c r="P13" s="7">
        <f t="shared" si="11"/>
        <v>272</v>
      </c>
      <c r="Q13" s="7">
        <f t="shared" si="12"/>
        <v>187.00000000000003</v>
      </c>
      <c r="R13" s="7">
        <f t="shared" si="13"/>
        <v>221</v>
      </c>
      <c r="S13" s="7">
        <f t="shared" si="14"/>
        <v>272</v>
      </c>
      <c r="T13" s="7">
        <f t="shared" si="15"/>
        <v>221</v>
      </c>
      <c r="U13" s="7">
        <f t="shared" si="16"/>
        <v>289</v>
      </c>
      <c r="V13" s="7">
        <f t="shared" si="17"/>
        <v>289</v>
      </c>
      <c r="W13" s="7">
        <f t="shared" si="18"/>
        <v>204</v>
      </c>
      <c r="X13" s="7">
        <f t="shared" si="19"/>
        <v>221</v>
      </c>
      <c r="Y13" s="7">
        <f t="shared" si="20"/>
        <v>272</v>
      </c>
      <c r="Z13" s="7">
        <f t="shared" si="21"/>
        <v>221</v>
      </c>
      <c r="AB13" s="1" t="s">
        <v>134</v>
      </c>
      <c r="AC13" s="1">
        <v>99</v>
      </c>
    </row>
    <row r="14" spans="1:29">
      <c r="A14" s="1" t="s">
        <v>39</v>
      </c>
      <c r="B14" s="1">
        <v>23</v>
      </c>
      <c r="C14" s="1">
        <v>210</v>
      </c>
      <c r="D14" s="337"/>
      <c r="E14" s="7">
        <f t="shared" si="0"/>
        <v>504</v>
      </c>
      <c r="F14" s="7">
        <f t="shared" si="1"/>
        <v>357</v>
      </c>
      <c r="G14" s="7">
        <f t="shared" si="2"/>
        <v>315</v>
      </c>
      <c r="H14" s="7">
        <f t="shared" si="3"/>
        <v>294</v>
      </c>
      <c r="I14" s="7">
        <f t="shared" si="4"/>
        <v>273</v>
      </c>
      <c r="J14" s="7">
        <f t="shared" si="5"/>
        <v>252</v>
      </c>
      <c r="K14" s="7">
        <f t="shared" si="6"/>
        <v>210</v>
      </c>
      <c r="L14" s="7">
        <f t="shared" si="7"/>
        <v>231.00000000000003</v>
      </c>
      <c r="M14" s="7">
        <f t="shared" si="8"/>
        <v>357</v>
      </c>
      <c r="N14" s="7">
        <f t="shared" si="9"/>
        <v>357</v>
      </c>
      <c r="O14" s="7">
        <f t="shared" si="10"/>
        <v>336</v>
      </c>
      <c r="P14" s="7">
        <f t="shared" si="11"/>
        <v>336</v>
      </c>
      <c r="Q14" s="7">
        <f t="shared" si="12"/>
        <v>231.00000000000003</v>
      </c>
      <c r="R14" s="7">
        <f t="shared" si="13"/>
        <v>273</v>
      </c>
      <c r="S14" s="7">
        <f t="shared" si="14"/>
        <v>336</v>
      </c>
      <c r="T14" s="7">
        <f t="shared" si="15"/>
        <v>273</v>
      </c>
      <c r="U14" s="7">
        <f t="shared" si="16"/>
        <v>357</v>
      </c>
      <c r="V14" s="7">
        <f t="shared" si="17"/>
        <v>357</v>
      </c>
      <c r="W14" s="7">
        <f t="shared" si="18"/>
        <v>252</v>
      </c>
      <c r="X14" s="7">
        <f t="shared" si="19"/>
        <v>273</v>
      </c>
      <c r="Y14" s="7">
        <f t="shared" si="20"/>
        <v>336</v>
      </c>
      <c r="Z14" s="7">
        <f t="shared" si="21"/>
        <v>273</v>
      </c>
      <c r="AB14" s="1" t="s">
        <v>135</v>
      </c>
      <c r="AC14" s="1">
        <v>99</v>
      </c>
    </row>
    <row r="15" spans="1:29">
      <c r="A15" s="1" t="s">
        <v>40</v>
      </c>
      <c r="B15" s="1">
        <v>62</v>
      </c>
      <c r="C15" s="1">
        <v>364</v>
      </c>
      <c r="D15" s="337"/>
      <c r="E15" s="7">
        <f t="shared" si="0"/>
        <v>873.6</v>
      </c>
      <c r="F15" s="7">
        <f t="shared" si="1"/>
        <v>618.79999999999995</v>
      </c>
      <c r="G15" s="7">
        <f t="shared" si="2"/>
        <v>546</v>
      </c>
      <c r="H15" s="7">
        <f t="shared" si="3"/>
        <v>509.59999999999997</v>
      </c>
      <c r="I15" s="7">
        <f t="shared" si="4"/>
        <v>473.2</v>
      </c>
      <c r="J15" s="7">
        <f t="shared" si="5"/>
        <v>436.8</v>
      </c>
      <c r="K15" s="7">
        <f t="shared" si="6"/>
        <v>364</v>
      </c>
      <c r="L15" s="7">
        <f t="shared" si="7"/>
        <v>400.40000000000003</v>
      </c>
      <c r="M15" s="7">
        <f t="shared" si="8"/>
        <v>618.79999999999995</v>
      </c>
      <c r="N15" s="7">
        <f t="shared" si="9"/>
        <v>618.79999999999995</v>
      </c>
      <c r="O15" s="7">
        <f t="shared" si="10"/>
        <v>582.4</v>
      </c>
      <c r="P15" s="7">
        <f t="shared" si="11"/>
        <v>582.4</v>
      </c>
      <c r="Q15" s="7">
        <f t="shared" si="12"/>
        <v>400.40000000000003</v>
      </c>
      <c r="R15" s="7">
        <f t="shared" si="13"/>
        <v>473.2</v>
      </c>
      <c r="S15" s="7">
        <f t="shared" si="14"/>
        <v>582.4</v>
      </c>
      <c r="T15" s="7">
        <f t="shared" si="15"/>
        <v>473.2</v>
      </c>
      <c r="U15" s="7">
        <f t="shared" si="16"/>
        <v>618.79999999999995</v>
      </c>
      <c r="V15" s="7">
        <f t="shared" si="17"/>
        <v>618.79999999999995</v>
      </c>
      <c r="W15" s="7">
        <f t="shared" si="18"/>
        <v>436.8</v>
      </c>
      <c r="X15" s="7">
        <f t="shared" si="19"/>
        <v>473.2</v>
      </c>
      <c r="Y15" s="7">
        <f t="shared" si="20"/>
        <v>582.4</v>
      </c>
      <c r="Z15" s="7">
        <f t="shared" si="21"/>
        <v>473.2</v>
      </c>
      <c r="AB15" s="1" t="s">
        <v>136</v>
      </c>
      <c r="AC15" s="1">
        <v>112</v>
      </c>
    </row>
    <row r="16" spans="1:29">
      <c r="A16" s="1" t="s">
        <v>41</v>
      </c>
      <c r="B16" s="1">
        <v>64</v>
      </c>
      <c r="C16" s="1">
        <v>364</v>
      </c>
      <c r="D16" s="337"/>
      <c r="E16" s="7">
        <f t="shared" si="0"/>
        <v>873.6</v>
      </c>
      <c r="F16" s="7">
        <f t="shared" si="1"/>
        <v>618.79999999999995</v>
      </c>
      <c r="G16" s="7">
        <f t="shared" si="2"/>
        <v>546</v>
      </c>
      <c r="H16" s="7">
        <f t="shared" si="3"/>
        <v>509.59999999999997</v>
      </c>
      <c r="I16" s="7">
        <f t="shared" si="4"/>
        <v>473.2</v>
      </c>
      <c r="J16" s="7">
        <f t="shared" si="5"/>
        <v>436.8</v>
      </c>
      <c r="K16" s="7">
        <f t="shared" si="6"/>
        <v>364</v>
      </c>
      <c r="L16" s="7">
        <f t="shared" si="7"/>
        <v>400.40000000000003</v>
      </c>
      <c r="M16" s="7">
        <f t="shared" si="8"/>
        <v>618.79999999999995</v>
      </c>
      <c r="N16" s="7">
        <f t="shared" si="9"/>
        <v>618.79999999999995</v>
      </c>
      <c r="O16" s="7">
        <f t="shared" si="10"/>
        <v>582.4</v>
      </c>
      <c r="P16" s="7">
        <f t="shared" si="11"/>
        <v>582.4</v>
      </c>
      <c r="Q16" s="7">
        <f t="shared" si="12"/>
        <v>400.40000000000003</v>
      </c>
      <c r="R16" s="7">
        <f t="shared" si="13"/>
        <v>473.2</v>
      </c>
      <c r="S16" s="7">
        <f t="shared" si="14"/>
        <v>582.4</v>
      </c>
      <c r="T16" s="7">
        <f t="shared" si="15"/>
        <v>473.2</v>
      </c>
      <c r="U16" s="7">
        <f t="shared" si="16"/>
        <v>618.79999999999995</v>
      </c>
      <c r="V16" s="7">
        <f t="shared" si="17"/>
        <v>618.79999999999995</v>
      </c>
      <c r="W16" s="7">
        <f t="shared" si="18"/>
        <v>436.8</v>
      </c>
      <c r="X16" s="7">
        <f t="shared" si="19"/>
        <v>473.2</v>
      </c>
      <c r="Y16" s="7">
        <f t="shared" si="20"/>
        <v>582.4</v>
      </c>
      <c r="Z16" s="7">
        <f t="shared" si="21"/>
        <v>473.2</v>
      </c>
      <c r="AB16" s="1" t="s">
        <v>137</v>
      </c>
      <c r="AC16" s="1">
        <v>122</v>
      </c>
    </row>
    <row r="17" spans="1:29">
      <c r="A17" s="1" t="s">
        <v>2</v>
      </c>
      <c r="B17" s="1">
        <v>65</v>
      </c>
      <c r="C17" s="1">
        <v>364</v>
      </c>
      <c r="D17" s="337"/>
      <c r="E17" s="7">
        <f t="shared" si="0"/>
        <v>873.6</v>
      </c>
      <c r="F17" s="7">
        <f t="shared" si="1"/>
        <v>618.79999999999995</v>
      </c>
      <c r="G17" s="7">
        <f t="shared" si="2"/>
        <v>546</v>
      </c>
      <c r="H17" s="7">
        <f t="shared" si="3"/>
        <v>509.59999999999997</v>
      </c>
      <c r="I17" s="7">
        <f t="shared" si="4"/>
        <v>473.2</v>
      </c>
      <c r="J17" s="7">
        <f t="shared" si="5"/>
        <v>436.8</v>
      </c>
      <c r="K17" s="7">
        <f t="shared" si="6"/>
        <v>364</v>
      </c>
      <c r="L17" s="7">
        <f t="shared" si="7"/>
        <v>400.40000000000003</v>
      </c>
      <c r="M17" s="7">
        <f t="shared" si="8"/>
        <v>618.79999999999995</v>
      </c>
      <c r="N17" s="7">
        <f t="shared" si="9"/>
        <v>618.79999999999995</v>
      </c>
      <c r="O17" s="7">
        <f t="shared" si="10"/>
        <v>582.4</v>
      </c>
      <c r="P17" s="7">
        <f t="shared" si="11"/>
        <v>582.4</v>
      </c>
      <c r="Q17" s="7">
        <f t="shared" si="12"/>
        <v>400.40000000000003</v>
      </c>
      <c r="R17" s="7">
        <f t="shared" si="13"/>
        <v>473.2</v>
      </c>
      <c r="S17" s="7">
        <f t="shared" si="14"/>
        <v>582.4</v>
      </c>
      <c r="T17" s="7">
        <f t="shared" si="15"/>
        <v>473.2</v>
      </c>
      <c r="U17" s="7">
        <f t="shared" si="16"/>
        <v>618.79999999999995</v>
      </c>
      <c r="V17" s="7">
        <f t="shared" si="17"/>
        <v>618.79999999999995</v>
      </c>
      <c r="W17" s="7">
        <f t="shared" si="18"/>
        <v>436.8</v>
      </c>
      <c r="X17" s="7">
        <f t="shared" si="19"/>
        <v>473.2</v>
      </c>
      <c r="Y17" s="7">
        <f t="shared" si="20"/>
        <v>582.4</v>
      </c>
      <c r="Z17" s="7">
        <f t="shared" si="21"/>
        <v>473.2</v>
      </c>
      <c r="AB17" s="1" t="s">
        <v>138</v>
      </c>
      <c r="AC17" s="1">
        <v>122</v>
      </c>
    </row>
    <row r="18" spans="1:29">
      <c r="A18" s="1" t="s">
        <v>42</v>
      </c>
      <c r="B18" s="1">
        <v>3</v>
      </c>
      <c r="C18" s="1">
        <v>87</v>
      </c>
      <c r="D18" s="337"/>
      <c r="E18" s="7">
        <f t="shared" si="0"/>
        <v>208.79999999999998</v>
      </c>
      <c r="F18" s="7">
        <f t="shared" si="1"/>
        <v>147.9</v>
      </c>
      <c r="G18" s="7">
        <f t="shared" si="2"/>
        <v>130.5</v>
      </c>
      <c r="H18" s="7">
        <f t="shared" si="3"/>
        <v>121.8</v>
      </c>
      <c r="I18" s="7">
        <f t="shared" si="4"/>
        <v>113.10000000000001</v>
      </c>
      <c r="J18" s="7">
        <f t="shared" si="5"/>
        <v>104.39999999999999</v>
      </c>
      <c r="K18" s="7">
        <f t="shared" si="6"/>
        <v>87</v>
      </c>
      <c r="L18" s="7">
        <f t="shared" si="7"/>
        <v>95.7</v>
      </c>
      <c r="M18" s="7">
        <f t="shared" si="8"/>
        <v>147.9</v>
      </c>
      <c r="N18" s="7">
        <f t="shared" si="9"/>
        <v>147.9</v>
      </c>
      <c r="O18" s="7">
        <f t="shared" si="10"/>
        <v>139.20000000000002</v>
      </c>
      <c r="P18" s="7">
        <f t="shared" si="11"/>
        <v>139.20000000000002</v>
      </c>
      <c r="Q18" s="7">
        <f t="shared" si="12"/>
        <v>95.7</v>
      </c>
      <c r="R18" s="7">
        <f t="shared" si="13"/>
        <v>113.10000000000001</v>
      </c>
      <c r="S18" s="7">
        <f t="shared" si="14"/>
        <v>139.20000000000002</v>
      </c>
      <c r="T18" s="7">
        <f t="shared" si="15"/>
        <v>113.10000000000001</v>
      </c>
      <c r="U18" s="7">
        <f t="shared" si="16"/>
        <v>147.9</v>
      </c>
      <c r="V18" s="7">
        <f t="shared" si="17"/>
        <v>147.9</v>
      </c>
      <c r="W18" s="7">
        <f t="shared" si="18"/>
        <v>104.39999999999999</v>
      </c>
      <c r="X18" s="7">
        <f t="shared" si="19"/>
        <v>113.10000000000001</v>
      </c>
      <c r="Y18" s="7">
        <f t="shared" si="20"/>
        <v>139.20000000000002</v>
      </c>
      <c r="Z18" s="7">
        <f t="shared" si="21"/>
        <v>113.10000000000001</v>
      </c>
      <c r="AB18" s="1" t="s">
        <v>139</v>
      </c>
      <c r="AC18" s="1">
        <v>122</v>
      </c>
    </row>
    <row r="19" spans="1:29">
      <c r="A19" s="1" t="s">
        <v>43</v>
      </c>
      <c r="B19" s="1">
        <v>72</v>
      </c>
      <c r="C19" s="1">
        <v>443</v>
      </c>
      <c r="D19" s="337"/>
      <c r="E19" s="7">
        <f t="shared" si="0"/>
        <v>1063.2</v>
      </c>
      <c r="F19" s="7">
        <f t="shared" si="1"/>
        <v>753.1</v>
      </c>
      <c r="G19" s="7">
        <f t="shared" si="2"/>
        <v>664.5</v>
      </c>
      <c r="H19" s="7">
        <f t="shared" si="3"/>
        <v>620.19999999999993</v>
      </c>
      <c r="I19" s="7">
        <f t="shared" si="4"/>
        <v>575.9</v>
      </c>
      <c r="J19" s="7">
        <f t="shared" si="5"/>
        <v>531.6</v>
      </c>
      <c r="K19" s="7">
        <f t="shared" si="6"/>
        <v>443</v>
      </c>
      <c r="L19" s="7">
        <f t="shared" si="7"/>
        <v>487.3</v>
      </c>
      <c r="M19" s="7">
        <f t="shared" si="8"/>
        <v>753.1</v>
      </c>
      <c r="N19" s="7">
        <f t="shared" si="9"/>
        <v>753.1</v>
      </c>
      <c r="O19" s="7">
        <f t="shared" si="10"/>
        <v>708.80000000000007</v>
      </c>
      <c r="P19" s="7">
        <f t="shared" si="11"/>
        <v>708.80000000000007</v>
      </c>
      <c r="Q19" s="7">
        <f t="shared" si="12"/>
        <v>487.3</v>
      </c>
      <c r="R19" s="7">
        <f t="shared" si="13"/>
        <v>575.9</v>
      </c>
      <c r="S19" s="7">
        <f t="shared" si="14"/>
        <v>708.80000000000007</v>
      </c>
      <c r="T19" s="7">
        <f t="shared" si="15"/>
        <v>575.9</v>
      </c>
      <c r="U19" s="7">
        <f t="shared" si="16"/>
        <v>753.1</v>
      </c>
      <c r="V19" s="7">
        <f t="shared" si="17"/>
        <v>753.1</v>
      </c>
      <c r="W19" s="7">
        <f t="shared" si="18"/>
        <v>531.6</v>
      </c>
      <c r="X19" s="7">
        <f t="shared" si="19"/>
        <v>575.9</v>
      </c>
      <c r="Y19" s="7">
        <f t="shared" si="20"/>
        <v>708.80000000000007</v>
      </c>
      <c r="Z19" s="7">
        <f t="shared" si="21"/>
        <v>575.9</v>
      </c>
      <c r="AB19" s="1" t="s">
        <v>140</v>
      </c>
      <c r="AC19" s="1">
        <v>128</v>
      </c>
    </row>
    <row r="20" spans="1:29">
      <c r="A20" s="1" t="s">
        <v>44</v>
      </c>
      <c r="B20" s="1">
        <v>50</v>
      </c>
      <c r="C20" s="1">
        <v>334</v>
      </c>
      <c r="D20" s="337"/>
      <c r="E20" s="7">
        <f t="shared" si="0"/>
        <v>801.6</v>
      </c>
      <c r="F20" s="7">
        <f t="shared" si="1"/>
        <v>567.79999999999995</v>
      </c>
      <c r="G20" s="7">
        <f t="shared" si="2"/>
        <v>501</v>
      </c>
      <c r="H20" s="7">
        <f t="shared" si="3"/>
        <v>467.59999999999997</v>
      </c>
      <c r="I20" s="7">
        <f t="shared" si="4"/>
        <v>434.2</v>
      </c>
      <c r="J20" s="7">
        <f t="shared" si="5"/>
        <v>400.8</v>
      </c>
      <c r="K20" s="7">
        <f t="shared" si="6"/>
        <v>334</v>
      </c>
      <c r="L20" s="7">
        <f t="shared" si="7"/>
        <v>367.40000000000003</v>
      </c>
      <c r="M20" s="7">
        <f t="shared" si="8"/>
        <v>567.79999999999995</v>
      </c>
      <c r="N20" s="7">
        <f t="shared" si="9"/>
        <v>567.79999999999995</v>
      </c>
      <c r="O20" s="7">
        <f t="shared" si="10"/>
        <v>534.4</v>
      </c>
      <c r="P20" s="7">
        <f t="shared" si="11"/>
        <v>534.4</v>
      </c>
      <c r="Q20" s="7">
        <f t="shared" si="12"/>
        <v>367.40000000000003</v>
      </c>
      <c r="R20" s="7">
        <f t="shared" si="13"/>
        <v>434.2</v>
      </c>
      <c r="S20" s="7">
        <f t="shared" si="14"/>
        <v>534.4</v>
      </c>
      <c r="T20" s="7">
        <f t="shared" si="15"/>
        <v>434.2</v>
      </c>
      <c r="U20" s="7">
        <f t="shared" si="16"/>
        <v>567.79999999999995</v>
      </c>
      <c r="V20" s="7">
        <f t="shared" si="17"/>
        <v>567.79999999999995</v>
      </c>
      <c r="W20" s="7">
        <f t="shared" si="18"/>
        <v>400.8</v>
      </c>
      <c r="X20" s="7">
        <f t="shared" si="19"/>
        <v>434.2</v>
      </c>
      <c r="Y20" s="7">
        <f t="shared" si="20"/>
        <v>534.4</v>
      </c>
      <c r="Z20" s="7">
        <f t="shared" si="21"/>
        <v>434.2</v>
      </c>
      <c r="AB20" s="1" t="s">
        <v>141</v>
      </c>
      <c r="AC20" s="1">
        <v>128</v>
      </c>
    </row>
    <row r="21" spans="1:29">
      <c r="A21" s="1" t="s">
        <v>45</v>
      </c>
      <c r="B21" s="1">
        <v>45</v>
      </c>
      <c r="C21" s="1">
        <v>283</v>
      </c>
      <c r="D21" s="337"/>
      <c r="E21" s="7">
        <f t="shared" si="0"/>
        <v>679.19999999999993</v>
      </c>
      <c r="F21" s="7">
        <f t="shared" si="1"/>
        <v>481.09999999999997</v>
      </c>
      <c r="G21" s="7">
        <f t="shared" si="2"/>
        <v>424.5</v>
      </c>
      <c r="H21" s="7">
        <f t="shared" si="3"/>
        <v>396.2</v>
      </c>
      <c r="I21" s="7">
        <f t="shared" si="4"/>
        <v>367.90000000000003</v>
      </c>
      <c r="J21" s="7">
        <f t="shared" si="5"/>
        <v>339.59999999999997</v>
      </c>
      <c r="K21" s="7">
        <f t="shared" si="6"/>
        <v>283</v>
      </c>
      <c r="L21" s="7">
        <f t="shared" si="7"/>
        <v>311.3</v>
      </c>
      <c r="M21" s="7">
        <f t="shared" si="8"/>
        <v>481.09999999999997</v>
      </c>
      <c r="N21" s="7">
        <f t="shared" si="9"/>
        <v>481.09999999999997</v>
      </c>
      <c r="O21" s="7">
        <f t="shared" si="10"/>
        <v>452.8</v>
      </c>
      <c r="P21" s="7">
        <f t="shared" si="11"/>
        <v>452.8</v>
      </c>
      <c r="Q21" s="7">
        <f t="shared" si="12"/>
        <v>311.3</v>
      </c>
      <c r="R21" s="7">
        <f t="shared" si="13"/>
        <v>367.90000000000003</v>
      </c>
      <c r="S21" s="7">
        <f t="shared" si="14"/>
        <v>452.8</v>
      </c>
      <c r="T21" s="7">
        <f t="shared" si="15"/>
        <v>367.90000000000003</v>
      </c>
      <c r="U21" s="7">
        <f t="shared" si="16"/>
        <v>481.09999999999997</v>
      </c>
      <c r="V21" s="7">
        <f t="shared" si="17"/>
        <v>481.09999999999997</v>
      </c>
      <c r="W21" s="7">
        <f t="shared" si="18"/>
        <v>339.59999999999997</v>
      </c>
      <c r="X21" s="7">
        <f t="shared" si="19"/>
        <v>367.90000000000003</v>
      </c>
      <c r="Y21" s="7">
        <f t="shared" si="20"/>
        <v>452.8</v>
      </c>
      <c r="Z21" s="7">
        <f t="shared" si="21"/>
        <v>367.90000000000003</v>
      </c>
      <c r="AB21" s="1" t="s">
        <v>142</v>
      </c>
      <c r="AC21" s="1">
        <v>136</v>
      </c>
    </row>
    <row r="22" spans="1:29">
      <c r="A22" s="1" t="s">
        <v>46</v>
      </c>
      <c r="B22" s="1">
        <v>38</v>
      </c>
      <c r="C22" s="1">
        <v>263</v>
      </c>
      <c r="D22" s="337"/>
      <c r="E22" s="7">
        <f t="shared" si="0"/>
        <v>631.19999999999993</v>
      </c>
      <c r="F22" s="7">
        <f t="shared" si="1"/>
        <v>447.09999999999997</v>
      </c>
      <c r="G22" s="7">
        <f t="shared" si="2"/>
        <v>394.5</v>
      </c>
      <c r="H22" s="7">
        <f t="shared" si="3"/>
        <v>368.2</v>
      </c>
      <c r="I22" s="7">
        <f t="shared" si="4"/>
        <v>341.90000000000003</v>
      </c>
      <c r="J22" s="7">
        <f t="shared" si="5"/>
        <v>315.59999999999997</v>
      </c>
      <c r="K22" s="7">
        <f t="shared" si="6"/>
        <v>263</v>
      </c>
      <c r="L22" s="7">
        <f t="shared" si="7"/>
        <v>289.3</v>
      </c>
      <c r="M22" s="7">
        <f t="shared" si="8"/>
        <v>447.09999999999997</v>
      </c>
      <c r="N22" s="7">
        <f t="shared" si="9"/>
        <v>447.09999999999997</v>
      </c>
      <c r="O22" s="7">
        <f t="shared" si="10"/>
        <v>420.8</v>
      </c>
      <c r="P22" s="7">
        <f t="shared" si="11"/>
        <v>420.8</v>
      </c>
      <c r="Q22" s="7">
        <f t="shared" si="12"/>
        <v>289.3</v>
      </c>
      <c r="R22" s="7">
        <f t="shared" si="13"/>
        <v>341.90000000000003</v>
      </c>
      <c r="S22" s="7">
        <f t="shared" si="14"/>
        <v>420.8</v>
      </c>
      <c r="T22" s="7">
        <f t="shared" si="15"/>
        <v>341.90000000000003</v>
      </c>
      <c r="U22" s="7">
        <f t="shared" si="16"/>
        <v>447.09999999999997</v>
      </c>
      <c r="V22" s="7">
        <f t="shared" si="17"/>
        <v>447.09999999999997</v>
      </c>
      <c r="W22" s="7">
        <f t="shared" si="18"/>
        <v>315.59999999999997</v>
      </c>
      <c r="X22" s="7">
        <f t="shared" si="19"/>
        <v>341.90000000000003</v>
      </c>
      <c r="Y22" s="7">
        <f t="shared" si="20"/>
        <v>420.8</v>
      </c>
      <c r="Z22" s="7">
        <f t="shared" si="21"/>
        <v>341.90000000000003</v>
      </c>
      <c r="AB22" s="1" t="s">
        <v>143</v>
      </c>
      <c r="AC22" s="1">
        <v>136</v>
      </c>
    </row>
    <row r="23" spans="1:29">
      <c r="A23" s="1" t="s">
        <v>47</v>
      </c>
      <c r="B23" s="1">
        <v>13</v>
      </c>
      <c r="C23" s="1">
        <v>136</v>
      </c>
      <c r="D23" s="337"/>
      <c r="E23" s="7">
        <f t="shared" si="0"/>
        <v>326.39999999999998</v>
      </c>
      <c r="F23" s="7">
        <f t="shared" si="1"/>
        <v>231.2</v>
      </c>
      <c r="G23" s="7">
        <f t="shared" si="2"/>
        <v>204</v>
      </c>
      <c r="H23" s="7">
        <f t="shared" si="3"/>
        <v>190.39999999999998</v>
      </c>
      <c r="I23" s="7">
        <f t="shared" si="4"/>
        <v>176.8</v>
      </c>
      <c r="J23" s="7">
        <f t="shared" si="5"/>
        <v>163.19999999999999</v>
      </c>
      <c r="K23" s="7">
        <f t="shared" si="6"/>
        <v>136</v>
      </c>
      <c r="L23" s="7">
        <f t="shared" si="7"/>
        <v>149.60000000000002</v>
      </c>
      <c r="M23" s="7">
        <f t="shared" si="8"/>
        <v>231.2</v>
      </c>
      <c r="N23" s="7">
        <f t="shared" si="9"/>
        <v>231.2</v>
      </c>
      <c r="O23" s="7">
        <f t="shared" si="10"/>
        <v>217.60000000000002</v>
      </c>
      <c r="P23" s="7">
        <f t="shared" si="11"/>
        <v>217.60000000000002</v>
      </c>
      <c r="Q23" s="7">
        <f t="shared" si="12"/>
        <v>149.60000000000002</v>
      </c>
      <c r="R23" s="7">
        <f t="shared" si="13"/>
        <v>176.8</v>
      </c>
      <c r="S23" s="7">
        <f t="shared" si="14"/>
        <v>217.60000000000002</v>
      </c>
      <c r="T23" s="7">
        <f t="shared" si="15"/>
        <v>176.8</v>
      </c>
      <c r="U23" s="7">
        <f t="shared" si="16"/>
        <v>231.2</v>
      </c>
      <c r="V23" s="7">
        <f t="shared" si="17"/>
        <v>231.2</v>
      </c>
      <c r="W23" s="7">
        <f t="shared" si="18"/>
        <v>163.19999999999999</v>
      </c>
      <c r="X23" s="7">
        <f t="shared" si="19"/>
        <v>176.8</v>
      </c>
      <c r="Y23" s="7">
        <f t="shared" si="20"/>
        <v>217.60000000000002</v>
      </c>
      <c r="Z23" s="7">
        <f t="shared" si="21"/>
        <v>176.8</v>
      </c>
      <c r="AB23" s="1" t="s">
        <v>144</v>
      </c>
      <c r="AC23" s="1">
        <v>170</v>
      </c>
    </row>
    <row r="24" spans="1:29">
      <c r="A24" s="1" t="s">
        <v>48</v>
      </c>
      <c r="B24" s="1">
        <v>14</v>
      </c>
      <c r="C24" s="1">
        <v>170</v>
      </c>
      <c r="D24" s="337"/>
      <c r="E24" s="7">
        <f t="shared" si="0"/>
        <v>408</v>
      </c>
      <c r="F24" s="7">
        <f t="shared" si="1"/>
        <v>289</v>
      </c>
      <c r="G24" s="7">
        <f t="shared" si="2"/>
        <v>255</v>
      </c>
      <c r="H24" s="7">
        <f t="shared" si="3"/>
        <v>237.99999999999997</v>
      </c>
      <c r="I24" s="7">
        <f t="shared" si="4"/>
        <v>221</v>
      </c>
      <c r="J24" s="7">
        <f t="shared" si="5"/>
        <v>204</v>
      </c>
      <c r="K24" s="7">
        <f t="shared" si="6"/>
        <v>170</v>
      </c>
      <c r="L24" s="7">
        <f t="shared" si="7"/>
        <v>187.00000000000003</v>
      </c>
      <c r="M24" s="7">
        <f t="shared" si="8"/>
        <v>289</v>
      </c>
      <c r="N24" s="7">
        <f t="shared" si="9"/>
        <v>289</v>
      </c>
      <c r="O24" s="7">
        <f t="shared" si="10"/>
        <v>272</v>
      </c>
      <c r="P24" s="7">
        <f t="shared" si="11"/>
        <v>272</v>
      </c>
      <c r="Q24" s="7">
        <f t="shared" si="12"/>
        <v>187.00000000000003</v>
      </c>
      <c r="R24" s="7">
        <f t="shared" si="13"/>
        <v>221</v>
      </c>
      <c r="S24" s="7">
        <f t="shared" si="14"/>
        <v>272</v>
      </c>
      <c r="T24" s="7">
        <f t="shared" si="15"/>
        <v>221</v>
      </c>
      <c r="U24" s="7">
        <f t="shared" si="16"/>
        <v>289</v>
      </c>
      <c r="V24" s="7">
        <f t="shared" si="17"/>
        <v>289</v>
      </c>
      <c r="W24" s="7">
        <f t="shared" si="18"/>
        <v>204</v>
      </c>
      <c r="X24" s="7">
        <f t="shared" si="19"/>
        <v>221</v>
      </c>
      <c r="Y24" s="7">
        <f t="shared" si="20"/>
        <v>272</v>
      </c>
      <c r="Z24" s="7">
        <f t="shared" si="21"/>
        <v>221</v>
      </c>
      <c r="AB24" s="1" t="s">
        <v>145</v>
      </c>
      <c r="AC24" s="1">
        <v>182</v>
      </c>
    </row>
    <row r="25" spans="1:29">
      <c r="A25" s="1" t="s">
        <v>49</v>
      </c>
      <c r="B25" s="1">
        <v>13</v>
      </c>
      <c r="C25" s="1">
        <v>136</v>
      </c>
      <c r="D25" s="337"/>
      <c r="E25" s="7">
        <f t="shared" si="0"/>
        <v>326.39999999999998</v>
      </c>
      <c r="F25" s="7">
        <f t="shared" si="1"/>
        <v>231.2</v>
      </c>
      <c r="G25" s="7">
        <f t="shared" si="2"/>
        <v>204</v>
      </c>
      <c r="H25" s="7">
        <f t="shared" si="3"/>
        <v>190.39999999999998</v>
      </c>
      <c r="I25" s="7">
        <f t="shared" si="4"/>
        <v>176.8</v>
      </c>
      <c r="J25" s="7">
        <f t="shared" si="5"/>
        <v>163.19999999999999</v>
      </c>
      <c r="K25" s="7">
        <f t="shared" si="6"/>
        <v>136</v>
      </c>
      <c r="L25" s="7">
        <f t="shared" si="7"/>
        <v>149.60000000000002</v>
      </c>
      <c r="M25" s="7">
        <f t="shared" si="8"/>
        <v>231.2</v>
      </c>
      <c r="N25" s="7">
        <f t="shared" si="9"/>
        <v>231.2</v>
      </c>
      <c r="O25" s="7">
        <f t="shared" si="10"/>
        <v>217.60000000000002</v>
      </c>
      <c r="P25" s="7">
        <f t="shared" si="11"/>
        <v>217.60000000000002</v>
      </c>
      <c r="Q25" s="7">
        <f t="shared" si="12"/>
        <v>149.60000000000002</v>
      </c>
      <c r="R25" s="7">
        <f t="shared" si="13"/>
        <v>176.8</v>
      </c>
      <c r="S25" s="7">
        <f t="shared" si="14"/>
        <v>217.60000000000002</v>
      </c>
      <c r="T25" s="7">
        <f t="shared" si="15"/>
        <v>176.8</v>
      </c>
      <c r="U25" s="7">
        <f t="shared" si="16"/>
        <v>231.2</v>
      </c>
      <c r="V25" s="7">
        <f t="shared" si="17"/>
        <v>231.2</v>
      </c>
      <c r="W25" s="7">
        <f t="shared" si="18"/>
        <v>163.19999999999999</v>
      </c>
      <c r="X25" s="7">
        <f t="shared" si="19"/>
        <v>176.8</v>
      </c>
      <c r="Y25" s="7">
        <f t="shared" si="20"/>
        <v>217.60000000000002</v>
      </c>
      <c r="Z25" s="7">
        <f t="shared" si="21"/>
        <v>176.8</v>
      </c>
      <c r="AB25" s="1" t="s">
        <v>146</v>
      </c>
      <c r="AC25" s="1">
        <v>182</v>
      </c>
    </row>
    <row r="26" spans="1:29">
      <c r="A26" s="1" t="s">
        <v>3</v>
      </c>
      <c r="B26" s="1">
        <v>55</v>
      </c>
      <c r="C26" s="1">
        <v>334</v>
      </c>
      <c r="D26" s="337"/>
      <c r="E26" s="7">
        <f t="shared" si="0"/>
        <v>801.6</v>
      </c>
      <c r="F26" s="7">
        <f t="shared" si="1"/>
        <v>567.79999999999995</v>
      </c>
      <c r="G26" s="7">
        <f t="shared" si="2"/>
        <v>501</v>
      </c>
      <c r="H26" s="7">
        <f t="shared" si="3"/>
        <v>467.59999999999997</v>
      </c>
      <c r="I26" s="7">
        <f t="shared" si="4"/>
        <v>434.2</v>
      </c>
      <c r="J26" s="7">
        <f t="shared" si="5"/>
        <v>400.8</v>
      </c>
      <c r="K26" s="7">
        <f t="shared" si="6"/>
        <v>334</v>
      </c>
      <c r="L26" s="7">
        <f t="shared" si="7"/>
        <v>367.40000000000003</v>
      </c>
      <c r="M26" s="7">
        <f t="shared" si="8"/>
        <v>567.79999999999995</v>
      </c>
      <c r="N26" s="7">
        <f t="shared" si="9"/>
        <v>567.79999999999995</v>
      </c>
      <c r="O26" s="7">
        <f t="shared" si="10"/>
        <v>534.4</v>
      </c>
      <c r="P26" s="7">
        <f t="shared" si="11"/>
        <v>534.4</v>
      </c>
      <c r="Q26" s="7">
        <f t="shared" si="12"/>
        <v>367.40000000000003</v>
      </c>
      <c r="R26" s="7">
        <f t="shared" si="13"/>
        <v>434.2</v>
      </c>
      <c r="S26" s="7">
        <f t="shared" si="14"/>
        <v>534.4</v>
      </c>
      <c r="T26" s="7">
        <f t="shared" si="15"/>
        <v>434.2</v>
      </c>
      <c r="U26" s="7">
        <f t="shared" si="16"/>
        <v>567.79999999999995</v>
      </c>
      <c r="V26" s="7">
        <f t="shared" si="17"/>
        <v>567.79999999999995</v>
      </c>
      <c r="W26" s="7">
        <f t="shared" si="18"/>
        <v>400.8</v>
      </c>
      <c r="X26" s="7">
        <f t="shared" si="19"/>
        <v>434.2</v>
      </c>
      <c r="Y26" s="7">
        <f t="shared" si="20"/>
        <v>534.4</v>
      </c>
      <c r="Z26" s="7">
        <f t="shared" si="21"/>
        <v>434.2</v>
      </c>
      <c r="AB26" s="1" t="s">
        <v>147</v>
      </c>
      <c r="AC26" s="1">
        <v>210</v>
      </c>
    </row>
    <row r="27" spans="1:29">
      <c r="A27" s="1" t="s">
        <v>50</v>
      </c>
      <c r="B27" s="1">
        <v>44</v>
      </c>
      <c r="C27" s="1">
        <v>269</v>
      </c>
      <c r="D27" s="338"/>
      <c r="E27" s="7">
        <f t="shared" si="0"/>
        <v>645.6</v>
      </c>
      <c r="F27" s="7">
        <f t="shared" si="1"/>
        <v>457.3</v>
      </c>
      <c r="G27" s="7">
        <f t="shared" si="2"/>
        <v>403.5</v>
      </c>
      <c r="H27" s="7">
        <f t="shared" si="3"/>
        <v>376.59999999999997</v>
      </c>
      <c r="I27" s="7">
        <f t="shared" si="4"/>
        <v>349.7</v>
      </c>
      <c r="J27" s="7">
        <f t="shared" si="5"/>
        <v>322.8</v>
      </c>
      <c r="K27" s="7">
        <f t="shared" si="6"/>
        <v>269</v>
      </c>
      <c r="L27" s="7">
        <f t="shared" si="7"/>
        <v>295.90000000000003</v>
      </c>
      <c r="M27" s="7">
        <f t="shared" si="8"/>
        <v>457.3</v>
      </c>
      <c r="N27" s="7">
        <f t="shared" si="9"/>
        <v>457.3</v>
      </c>
      <c r="O27" s="7">
        <f t="shared" si="10"/>
        <v>430.40000000000003</v>
      </c>
      <c r="P27" s="7">
        <f t="shared" si="11"/>
        <v>430.40000000000003</v>
      </c>
      <c r="Q27" s="7">
        <f t="shared" si="12"/>
        <v>295.90000000000003</v>
      </c>
      <c r="R27" s="7">
        <f t="shared" si="13"/>
        <v>349.7</v>
      </c>
      <c r="S27" s="7">
        <f t="shared" si="14"/>
        <v>430.40000000000003</v>
      </c>
      <c r="T27" s="7">
        <f t="shared" si="15"/>
        <v>349.7</v>
      </c>
      <c r="U27" s="7">
        <f t="shared" si="16"/>
        <v>457.3</v>
      </c>
      <c r="V27" s="7">
        <f t="shared" si="17"/>
        <v>457.3</v>
      </c>
      <c r="W27" s="7">
        <f t="shared" si="18"/>
        <v>322.8</v>
      </c>
      <c r="X27" s="7">
        <f t="shared" si="19"/>
        <v>349.7</v>
      </c>
      <c r="Y27" s="7">
        <f t="shared" si="20"/>
        <v>430.40000000000003</v>
      </c>
      <c r="Z27" s="7">
        <f t="shared" si="21"/>
        <v>349.7</v>
      </c>
      <c r="AB27" s="1" t="s">
        <v>148</v>
      </c>
      <c r="AC27" s="1">
        <v>210</v>
      </c>
    </row>
    <row r="28" spans="1:29">
      <c r="AB28" s="1" t="s">
        <v>149</v>
      </c>
      <c r="AC28" s="1">
        <v>215</v>
      </c>
    </row>
    <row r="29" spans="1:29">
      <c r="AB29" s="1" t="s">
        <v>150</v>
      </c>
      <c r="AC29" s="1">
        <v>263</v>
      </c>
    </row>
    <row r="30" spans="1:29" ht="88">
      <c r="A30" s="9" t="s">
        <v>51</v>
      </c>
      <c r="B30" s="9" t="s">
        <v>52</v>
      </c>
      <c r="D30" s="9" t="s">
        <v>61</v>
      </c>
      <c r="E30" s="9" t="s">
        <v>62</v>
      </c>
      <c r="G30" s="11" t="s">
        <v>67</v>
      </c>
      <c r="H30" s="14"/>
      <c r="I30" s="13" t="s">
        <v>69</v>
      </c>
      <c r="K30" s="15" t="s">
        <v>71</v>
      </c>
      <c r="M30" s="15" t="s">
        <v>74</v>
      </c>
      <c r="O30" s="143" t="s">
        <v>1212</v>
      </c>
      <c r="P30" s="144" t="s">
        <v>1213</v>
      </c>
      <c r="AB30" s="1" t="s">
        <v>151</v>
      </c>
      <c r="AC30" s="1">
        <v>269</v>
      </c>
    </row>
    <row r="31" spans="1:29" ht="181" customHeight="1">
      <c r="A31" s="10" t="s">
        <v>53</v>
      </c>
      <c r="B31" s="10" t="s">
        <v>54</v>
      </c>
      <c r="D31" s="10" t="s">
        <v>63</v>
      </c>
      <c r="E31" s="10" t="s">
        <v>64</v>
      </c>
      <c r="G31" s="12" t="s">
        <v>68</v>
      </c>
      <c r="H31" s="14"/>
      <c r="I31" s="8" t="s">
        <v>70</v>
      </c>
      <c r="J31" s="16"/>
      <c r="K31" s="17" t="s">
        <v>72</v>
      </c>
      <c r="M31" s="8" t="s">
        <v>75</v>
      </c>
      <c r="AB31" s="1" t="s">
        <v>152</v>
      </c>
      <c r="AC31" s="1">
        <v>283</v>
      </c>
    </row>
    <row r="32" spans="1:29" ht="40">
      <c r="A32" s="10" t="s">
        <v>55</v>
      </c>
      <c r="B32" s="10" t="s">
        <v>56</v>
      </c>
      <c r="D32" s="10" t="s">
        <v>65</v>
      </c>
      <c r="E32" s="10" t="s">
        <v>66</v>
      </c>
      <c r="AB32" s="1" t="s">
        <v>153</v>
      </c>
      <c r="AC32" s="1">
        <v>334</v>
      </c>
    </row>
    <row r="33" spans="1:29" ht="40">
      <c r="A33" s="10" t="s">
        <v>57</v>
      </c>
      <c r="B33" s="10" t="s">
        <v>58</v>
      </c>
      <c r="AB33" s="1" t="s">
        <v>154</v>
      </c>
      <c r="AC33" s="1">
        <v>364</v>
      </c>
    </row>
    <row r="34" spans="1:29" ht="40">
      <c r="A34" s="10" t="s">
        <v>59</v>
      </c>
      <c r="B34" s="10" t="s">
        <v>60</v>
      </c>
      <c r="E34" t="s">
        <v>1214</v>
      </c>
      <c r="AB34" s="1" t="s">
        <v>155</v>
      </c>
      <c r="AC34" s="1">
        <v>443</v>
      </c>
    </row>
    <row r="35" spans="1:29">
      <c r="AB35" s="1" t="s">
        <v>156</v>
      </c>
      <c r="AC35" s="1">
        <v>443</v>
      </c>
    </row>
    <row r="36" spans="1:29">
      <c r="AB36" s="1" t="s">
        <v>157</v>
      </c>
      <c r="AC36" s="1">
        <v>455</v>
      </c>
    </row>
    <row r="37" spans="1:29">
      <c r="AB37" s="1" t="s">
        <v>158</v>
      </c>
      <c r="AC37" s="1">
        <v>535</v>
      </c>
    </row>
    <row r="38" spans="1:29">
      <c r="AB38" s="1" t="s">
        <v>159</v>
      </c>
      <c r="AC38" s="1">
        <v>659</v>
      </c>
    </row>
    <row r="39" spans="1:29">
      <c r="AB39" s="1" t="s">
        <v>160</v>
      </c>
      <c r="AC39" s="1">
        <v>747</v>
      </c>
    </row>
    <row r="40" spans="1:29">
      <c r="AB40" s="1" t="s">
        <v>161</v>
      </c>
      <c r="AC40" s="1">
        <v>905</v>
      </c>
    </row>
    <row r="41" spans="1:29">
      <c r="AB41" s="1" t="s">
        <v>162</v>
      </c>
      <c r="AC41" s="1">
        <v>911</v>
      </c>
    </row>
    <row r="42" spans="1:29">
      <c r="AB42" s="1" t="s">
        <v>163</v>
      </c>
      <c r="AC42" s="1">
        <v>917</v>
      </c>
    </row>
    <row r="43" spans="1:29">
      <c r="AB43" s="1" t="s">
        <v>164</v>
      </c>
      <c r="AC43" s="1">
        <v>923</v>
      </c>
    </row>
    <row r="44" spans="1:29">
      <c r="AB44" s="1" t="s">
        <v>165</v>
      </c>
      <c r="AC44" s="1">
        <v>929</v>
      </c>
    </row>
    <row r="45" spans="1:29">
      <c r="AB45" s="1" t="s">
        <v>166</v>
      </c>
      <c r="AC45" s="1">
        <v>935</v>
      </c>
    </row>
    <row r="46" spans="1:29">
      <c r="AB46" s="1" t="s">
        <v>167</v>
      </c>
      <c r="AC46" s="1">
        <v>941</v>
      </c>
    </row>
    <row r="47" spans="1:29">
      <c r="AB47" s="1" t="s">
        <v>168</v>
      </c>
      <c r="AC47" s="1">
        <v>947</v>
      </c>
    </row>
    <row r="48" spans="1:29">
      <c r="AB48" s="1" t="s">
        <v>169</v>
      </c>
      <c r="AC48" s="1">
        <v>953</v>
      </c>
    </row>
    <row r="49" spans="28:29">
      <c r="AB49" s="1" t="s">
        <v>170</v>
      </c>
      <c r="AC49" s="1">
        <v>959</v>
      </c>
    </row>
    <row r="50" spans="28:29">
      <c r="AB50" s="1" t="s">
        <v>171</v>
      </c>
      <c r="AC50" s="1">
        <v>965</v>
      </c>
    </row>
    <row r="51" spans="28:29">
      <c r="AB51" s="1" t="s">
        <v>172</v>
      </c>
      <c r="AC51" s="1">
        <v>971</v>
      </c>
    </row>
    <row r="52" spans="28:29">
      <c r="AB52" s="1" t="s">
        <v>173</v>
      </c>
      <c r="AC52" s="1">
        <v>977</v>
      </c>
    </row>
    <row r="53" spans="28:29">
      <c r="AB53" s="1" t="s">
        <v>174</v>
      </c>
      <c r="AC53" s="1">
        <v>983</v>
      </c>
    </row>
    <row r="54" spans="28:29">
      <c r="AB54" s="1" t="s">
        <v>175</v>
      </c>
      <c r="AC54" s="1">
        <v>989</v>
      </c>
    </row>
    <row r="55" spans="28:29">
      <c r="AB55" s="1" t="s">
        <v>176</v>
      </c>
      <c r="AC55" s="1">
        <v>995</v>
      </c>
    </row>
    <row r="56" spans="28:29">
      <c r="AB56" s="1" t="s">
        <v>177</v>
      </c>
      <c r="AC56" s="1">
        <v>1001</v>
      </c>
    </row>
    <row r="57" spans="28:29">
      <c r="AB57" s="1" t="s">
        <v>178</v>
      </c>
      <c r="AC57" s="1">
        <v>1007</v>
      </c>
    </row>
    <row r="58" spans="28:29">
      <c r="AB58" s="1" t="s">
        <v>179</v>
      </c>
      <c r="AC58" s="1">
        <v>1013</v>
      </c>
    </row>
    <row r="59" spans="28:29">
      <c r="AB59" s="1" t="s">
        <v>180</v>
      </c>
      <c r="AC59" s="1">
        <v>1019</v>
      </c>
    </row>
    <row r="60" spans="28:29">
      <c r="AB60" s="1" t="s">
        <v>181</v>
      </c>
      <c r="AC60" s="1">
        <v>1025</v>
      </c>
    </row>
    <row r="61" spans="28:29">
      <c r="AB61" s="1" t="s">
        <v>182</v>
      </c>
      <c r="AC61" s="1">
        <v>1031</v>
      </c>
    </row>
    <row r="62" spans="28:29">
      <c r="AB62" s="1" t="s">
        <v>183</v>
      </c>
      <c r="AC62" s="1">
        <v>1037</v>
      </c>
    </row>
    <row r="63" spans="28:29">
      <c r="AB63" s="1" t="s">
        <v>184</v>
      </c>
      <c r="AC63" s="1">
        <v>1043</v>
      </c>
    </row>
    <row r="64" spans="28:29">
      <c r="AB64" s="1" t="s">
        <v>185</v>
      </c>
      <c r="AC64" s="1">
        <v>1049</v>
      </c>
    </row>
    <row r="65" spans="28:29">
      <c r="AB65" s="1" t="s">
        <v>186</v>
      </c>
      <c r="AC65" s="1">
        <v>1055</v>
      </c>
    </row>
    <row r="66" spans="28:29">
      <c r="AB66" s="1" t="s">
        <v>187</v>
      </c>
      <c r="AC66" s="1">
        <v>1061</v>
      </c>
    </row>
    <row r="67" spans="28:29">
      <c r="AB67" s="1" t="s">
        <v>188</v>
      </c>
      <c r="AC67" s="1">
        <v>1067</v>
      </c>
    </row>
    <row r="68" spans="28:29">
      <c r="AB68" s="1" t="s">
        <v>189</v>
      </c>
      <c r="AC68" s="1">
        <v>1073</v>
      </c>
    </row>
    <row r="69" spans="28:29">
      <c r="AB69" s="1" t="s">
        <v>190</v>
      </c>
      <c r="AC69" s="1">
        <v>1079</v>
      </c>
    </row>
    <row r="70" spans="28:29">
      <c r="AB70" s="1" t="s">
        <v>191</v>
      </c>
      <c r="AC70" s="1">
        <v>1085</v>
      </c>
    </row>
    <row r="71" spans="28:29">
      <c r="AB71" s="1" t="s">
        <v>192</v>
      </c>
      <c r="AC71" s="1">
        <v>1091</v>
      </c>
    </row>
    <row r="72" spans="28:29">
      <c r="AB72" s="1" t="s">
        <v>193</v>
      </c>
      <c r="AC72" s="1">
        <v>1097</v>
      </c>
    </row>
    <row r="73" spans="28:29">
      <c r="AB73" s="1" t="s">
        <v>194</v>
      </c>
      <c r="AC73" s="1">
        <v>1103</v>
      </c>
    </row>
    <row r="74" spans="28:29">
      <c r="AB74" s="1" t="s">
        <v>195</v>
      </c>
      <c r="AC74" s="1">
        <v>1109</v>
      </c>
    </row>
    <row r="75" spans="28:29">
      <c r="AB75" s="1" t="s">
        <v>196</v>
      </c>
      <c r="AC75" s="1">
        <v>1115</v>
      </c>
    </row>
    <row r="76" spans="28:29">
      <c r="AB76" s="1" t="s">
        <v>197</v>
      </c>
      <c r="AC76" s="1">
        <v>1121</v>
      </c>
    </row>
    <row r="77" spans="28:29">
      <c r="AB77" s="1" t="s">
        <v>198</v>
      </c>
      <c r="AC77" s="1">
        <v>1127</v>
      </c>
    </row>
    <row r="78" spans="28:29">
      <c r="AB78" s="1" t="s">
        <v>199</v>
      </c>
      <c r="AC78" s="1">
        <v>1133</v>
      </c>
    </row>
    <row r="79" spans="28:29">
      <c r="AB79" s="1" t="s">
        <v>200</v>
      </c>
      <c r="AC79" s="1">
        <v>1139</v>
      </c>
    </row>
    <row r="80" spans="28:29">
      <c r="AB80" s="1" t="s">
        <v>201</v>
      </c>
      <c r="AC80" s="1">
        <v>1145</v>
      </c>
    </row>
    <row r="81" spans="28:29">
      <c r="AB81" s="1" t="s">
        <v>202</v>
      </c>
      <c r="AC81" s="1">
        <v>1151</v>
      </c>
    </row>
    <row r="82" spans="28:29">
      <c r="AB82" s="1" t="s">
        <v>203</v>
      </c>
      <c r="AC82" s="1">
        <v>1157</v>
      </c>
    </row>
    <row r="83" spans="28:29">
      <c r="AB83" s="1" t="s">
        <v>204</v>
      </c>
      <c r="AC83" s="1">
        <v>1163</v>
      </c>
    </row>
    <row r="84" spans="28:29">
      <c r="AB84" s="1" t="s">
        <v>205</v>
      </c>
      <c r="AC84" s="1">
        <v>1169</v>
      </c>
    </row>
    <row r="85" spans="28:29">
      <c r="AB85" s="1" t="s">
        <v>206</v>
      </c>
      <c r="AC85" s="1">
        <v>1175</v>
      </c>
    </row>
    <row r="86" spans="28:29">
      <c r="AB86" s="1" t="s">
        <v>207</v>
      </c>
      <c r="AC86" s="1">
        <v>1181</v>
      </c>
    </row>
    <row r="87" spans="28:29">
      <c r="AB87" s="1" t="s">
        <v>208</v>
      </c>
      <c r="AC87" s="1">
        <v>1187</v>
      </c>
    </row>
    <row r="88" spans="28:29">
      <c r="AB88" s="1" t="s">
        <v>209</v>
      </c>
      <c r="AC88" s="1">
        <v>1193</v>
      </c>
    </row>
    <row r="89" spans="28:29">
      <c r="AB89" s="1" t="s">
        <v>210</v>
      </c>
      <c r="AC89" s="1">
        <v>1199</v>
      </c>
    </row>
    <row r="90" spans="28:29">
      <c r="AB90" s="1" t="s">
        <v>211</v>
      </c>
      <c r="AC90" s="1">
        <v>1205</v>
      </c>
    </row>
    <row r="91" spans="28:29">
      <c r="AB91" s="1" t="s">
        <v>212</v>
      </c>
      <c r="AC91" s="1">
        <v>1211</v>
      </c>
    </row>
    <row r="92" spans="28:29">
      <c r="AB92" s="1" t="s">
        <v>213</v>
      </c>
      <c r="AC92" s="1">
        <v>1217</v>
      </c>
    </row>
    <row r="93" spans="28:29">
      <c r="AB93" s="1" t="s">
        <v>214</v>
      </c>
      <c r="AC93" s="1">
        <v>1223</v>
      </c>
    </row>
    <row r="94" spans="28:29">
      <c r="AB94" s="1" t="s">
        <v>215</v>
      </c>
      <c r="AC94" s="1">
        <v>1229</v>
      </c>
    </row>
    <row r="95" spans="28:29">
      <c r="AB95" s="1" t="s">
        <v>216</v>
      </c>
      <c r="AC95" s="1">
        <v>1235</v>
      </c>
    </row>
    <row r="96" spans="28:29">
      <c r="AB96" s="1" t="s">
        <v>217</v>
      </c>
      <c r="AC96" s="1">
        <v>1241</v>
      </c>
    </row>
    <row r="97" spans="28:29">
      <c r="AB97" s="1" t="s">
        <v>218</v>
      </c>
      <c r="AC97" s="1">
        <v>1247</v>
      </c>
    </row>
    <row r="98" spans="28:29">
      <c r="AB98" s="1" t="s">
        <v>219</v>
      </c>
      <c r="AC98" s="1">
        <v>1253</v>
      </c>
    </row>
    <row r="99" spans="28:29">
      <c r="AB99" s="1" t="s">
        <v>220</v>
      </c>
      <c r="AC99" s="1">
        <v>1259</v>
      </c>
    </row>
    <row r="100" spans="28:29">
      <c r="AB100" s="1" t="s">
        <v>221</v>
      </c>
      <c r="AC100" s="1">
        <v>1265</v>
      </c>
    </row>
    <row r="101" spans="28:29">
      <c r="AB101" s="1" t="s">
        <v>222</v>
      </c>
      <c r="AC101" s="1">
        <v>1271</v>
      </c>
    </row>
    <row r="102" spans="28:29">
      <c r="AB102" s="1" t="s">
        <v>223</v>
      </c>
      <c r="AC102" s="1">
        <v>1277</v>
      </c>
    </row>
    <row r="103" spans="28:29">
      <c r="AB103" s="1" t="s">
        <v>224</v>
      </c>
      <c r="AC103" s="1">
        <v>1283</v>
      </c>
    </row>
    <row r="104" spans="28:29">
      <c r="AB104" s="1" t="s">
        <v>225</v>
      </c>
      <c r="AC104" s="1">
        <v>1289</v>
      </c>
    </row>
    <row r="105" spans="28:29">
      <c r="AB105" s="1" t="s">
        <v>226</v>
      </c>
      <c r="AC105" s="1">
        <v>1295</v>
      </c>
    </row>
    <row r="106" spans="28:29">
      <c r="AB106" s="1" t="s">
        <v>227</v>
      </c>
      <c r="AC106" s="1">
        <v>1301</v>
      </c>
    </row>
    <row r="107" spans="28:29">
      <c r="AB107" s="1" t="s">
        <v>228</v>
      </c>
      <c r="AC107" s="1">
        <v>1307</v>
      </c>
    </row>
    <row r="108" spans="28:29">
      <c r="AB108" s="1" t="s">
        <v>229</v>
      </c>
      <c r="AC108" s="1">
        <v>1313</v>
      </c>
    </row>
    <row r="109" spans="28:29">
      <c r="AB109" s="1" t="s">
        <v>230</v>
      </c>
      <c r="AC109" s="1">
        <v>1319</v>
      </c>
    </row>
    <row r="110" spans="28:29">
      <c r="AB110" s="1" t="s">
        <v>231</v>
      </c>
      <c r="AC110" s="1">
        <v>1325</v>
      </c>
    </row>
    <row r="111" spans="28:29">
      <c r="AB111" s="1" t="s">
        <v>232</v>
      </c>
      <c r="AC111" s="1">
        <v>1331</v>
      </c>
    </row>
    <row r="112" spans="28:29">
      <c r="AB112" s="1" t="s">
        <v>233</v>
      </c>
      <c r="AC112" s="1">
        <v>1337</v>
      </c>
    </row>
    <row r="113" spans="28:29">
      <c r="AB113" s="1" t="s">
        <v>234</v>
      </c>
      <c r="AC113" s="1">
        <v>1343</v>
      </c>
    </row>
    <row r="114" spans="28:29">
      <c r="AB114" s="1" t="s">
        <v>235</v>
      </c>
      <c r="AC114" s="1">
        <v>1349</v>
      </c>
    </row>
    <row r="115" spans="28:29">
      <c r="AB115" s="1" t="s">
        <v>236</v>
      </c>
      <c r="AC115" s="1">
        <v>1355</v>
      </c>
    </row>
    <row r="116" spans="28:29">
      <c r="AB116" s="1" t="s">
        <v>237</v>
      </c>
      <c r="AC116" s="1">
        <v>1361</v>
      </c>
    </row>
    <row r="117" spans="28:29">
      <c r="AB117" s="1" t="s">
        <v>238</v>
      </c>
      <c r="AC117" s="1">
        <v>1367</v>
      </c>
    </row>
    <row r="118" spans="28:29">
      <c r="AB118" s="1" t="s">
        <v>239</v>
      </c>
      <c r="AC118" s="1">
        <v>1373</v>
      </c>
    </row>
    <row r="119" spans="28:29">
      <c r="AB119" s="1" t="s">
        <v>240</v>
      </c>
      <c r="AC119" s="1">
        <v>1379</v>
      </c>
    </row>
    <row r="120" spans="28:29">
      <c r="AB120" s="1" t="s">
        <v>241</v>
      </c>
      <c r="AC120" s="1">
        <v>1385</v>
      </c>
    </row>
    <row r="121" spans="28:29">
      <c r="AB121" s="1" t="s">
        <v>242</v>
      </c>
      <c r="AC121" s="1">
        <v>1391</v>
      </c>
    </row>
    <row r="122" spans="28:29">
      <c r="AB122" s="1" t="s">
        <v>243</v>
      </c>
      <c r="AC122" s="1">
        <v>1397</v>
      </c>
    </row>
    <row r="123" spans="28:29">
      <c r="AB123" s="1" t="s">
        <v>244</v>
      </c>
      <c r="AC123" s="1">
        <v>1403</v>
      </c>
    </row>
    <row r="124" spans="28:29">
      <c r="AB124" s="1" t="s">
        <v>245</v>
      </c>
      <c r="AC124" s="1">
        <v>1409</v>
      </c>
    </row>
    <row r="125" spans="28:29">
      <c r="AB125" s="1" t="s">
        <v>246</v>
      </c>
      <c r="AC125" s="1">
        <v>1415</v>
      </c>
    </row>
    <row r="126" spans="28:29">
      <c r="AB126" s="1" t="s">
        <v>247</v>
      </c>
      <c r="AC126" s="1">
        <v>1421</v>
      </c>
    </row>
    <row r="127" spans="28:29">
      <c r="AB127" s="1" t="s">
        <v>248</v>
      </c>
      <c r="AC127" s="1">
        <v>1427</v>
      </c>
    </row>
    <row r="128" spans="28:29">
      <c r="AB128" s="1" t="s">
        <v>249</v>
      </c>
      <c r="AC128" s="1">
        <v>1433</v>
      </c>
    </row>
    <row r="129" spans="28:29">
      <c r="AB129" s="1" t="s">
        <v>250</v>
      </c>
      <c r="AC129" s="1">
        <v>1439</v>
      </c>
    </row>
    <row r="130" spans="28:29">
      <c r="AB130" s="1" t="s">
        <v>251</v>
      </c>
      <c r="AC130" s="1">
        <v>1445</v>
      </c>
    </row>
    <row r="131" spans="28:29">
      <c r="AB131" s="1" t="s">
        <v>252</v>
      </c>
      <c r="AC131" s="1">
        <v>1451</v>
      </c>
    </row>
    <row r="132" spans="28:29">
      <c r="AB132" s="1" t="s">
        <v>253</v>
      </c>
      <c r="AC132" s="1">
        <v>1457</v>
      </c>
    </row>
    <row r="133" spans="28:29">
      <c r="AB133" s="1" t="s">
        <v>254</v>
      </c>
      <c r="AC133" s="1">
        <v>1463</v>
      </c>
    </row>
    <row r="134" spans="28:29">
      <c r="AB134" s="1" t="s">
        <v>255</v>
      </c>
      <c r="AC134" s="1">
        <v>1469</v>
      </c>
    </row>
    <row r="135" spans="28:29">
      <c r="AB135" s="1" t="s">
        <v>256</v>
      </c>
      <c r="AC135" s="1">
        <v>1475</v>
      </c>
    </row>
    <row r="136" spans="28:29">
      <c r="AB136" s="1" t="s">
        <v>257</v>
      </c>
      <c r="AC136" s="1">
        <v>1481</v>
      </c>
    </row>
    <row r="137" spans="28:29">
      <c r="AB137" s="1" t="s">
        <v>258</v>
      </c>
      <c r="AC137" s="1">
        <v>1487</v>
      </c>
    </row>
    <row r="138" spans="28:29">
      <c r="AB138" s="1" t="s">
        <v>259</v>
      </c>
      <c r="AC138" s="1">
        <v>1493</v>
      </c>
    </row>
    <row r="139" spans="28:29">
      <c r="AB139" s="1" t="s">
        <v>260</v>
      </c>
      <c r="AC139" s="1">
        <v>1499</v>
      </c>
    </row>
    <row r="140" spans="28:29">
      <c r="AB140" s="1" t="s">
        <v>261</v>
      </c>
      <c r="AC140" s="1">
        <v>1505</v>
      </c>
    </row>
    <row r="141" spans="28:29">
      <c r="AB141" s="1" t="s">
        <v>262</v>
      </c>
      <c r="AC141" s="1">
        <v>1511</v>
      </c>
    </row>
    <row r="142" spans="28:29">
      <c r="AB142" s="1" t="s">
        <v>263</v>
      </c>
      <c r="AC142" s="1">
        <v>1517</v>
      </c>
    </row>
    <row r="143" spans="28:29">
      <c r="AB143" s="1" t="s">
        <v>264</v>
      </c>
      <c r="AC143" s="1">
        <v>1523</v>
      </c>
    </row>
    <row r="144" spans="28:29">
      <c r="AB144" s="1" t="s">
        <v>265</v>
      </c>
      <c r="AC144" s="1">
        <v>1529</v>
      </c>
    </row>
    <row r="145" spans="28:29">
      <c r="AB145" s="1" t="s">
        <v>266</v>
      </c>
      <c r="AC145" s="1">
        <v>1535</v>
      </c>
    </row>
    <row r="146" spans="28:29">
      <c r="AB146" s="1" t="s">
        <v>267</v>
      </c>
      <c r="AC146" s="1">
        <v>1541</v>
      </c>
    </row>
    <row r="147" spans="28:29">
      <c r="AB147" s="1" t="s">
        <v>268</v>
      </c>
      <c r="AC147" s="1">
        <v>1547</v>
      </c>
    </row>
    <row r="148" spans="28:29">
      <c r="AB148" s="1" t="s">
        <v>269</v>
      </c>
      <c r="AC148" s="1">
        <v>1553</v>
      </c>
    </row>
    <row r="149" spans="28:29">
      <c r="AB149" s="1" t="s">
        <v>270</v>
      </c>
      <c r="AC149" s="1">
        <v>1559</v>
      </c>
    </row>
    <row r="150" spans="28:29">
      <c r="AB150" s="1" t="s">
        <v>271</v>
      </c>
      <c r="AC150" s="1">
        <v>1565</v>
      </c>
    </row>
    <row r="151" spans="28:29">
      <c r="AB151" s="1" t="s">
        <v>272</v>
      </c>
      <c r="AC151" s="1">
        <v>1571</v>
      </c>
    </row>
    <row r="152" spans="28:29">
      <c r="AB152" s="1" t="s">
        <v>273</v>
      </c>
      <c r="AC152" s="1">
        <v>1577</v>
      </c>
    </row>
    <row r="153" spans="28:29">
      <c r="AB153" s="1" t="s">
        <v>274</v>
      </c>
      <c r="AC153" s="1">
        <v>1583</v>
      </c>
    </row>
    <row r="154" spans="28:29">
      <c r="AB154" s="1" t="s">
        <v>275</v>
      </c>
      <c r="AC154" s="1">
        <v>1589</v>
      </c>
    </row>
    <row r="155" spans="28:29">
      <c r="AB155" s="1" t="s">
        <v>276</v>
      </c>
      <c r="AC155" s="1">
        <v>1595</v>
      </c>
    </row>
    <row r="156" spans="28:29">
      <c r="AB156" s="1" t="s">
        <v>277</v>
      </c>
      <c r="AC156" s="1">
        <v>1601</v>
      </c>
    </row>
    <row r="157" spans="28:29">
      <c r="AB157" s="1" t="s">
        <v>278</v>
      </c>
      <c r="AC157" s="1">
        <v>1607</v>
      </c>
    </row>
    <row r="158" spans="28:29">
      <c r="AB158" s="1" t="s">
        <v>279</v>
      </c>
      <c r="AC158" s="1">
        <v>1613</v>
      </c>
    </row>
    <row r="159" spans="28:29">
      <c r="AB159" s="1" t="s">
        <v>280</v>
      </c>
      <c r="AC159" s="1">
        <v>1619</v>
      </c>
    </row>
    <row r="160" spans="28:29">
      <c r="AB160" s="1" t="s">
        <v>281</v>
      </c>
      <c r="AC160" s="1">
        <v>1625</v>
      </c>
    </row>
    <row r="161" spans="28:29">
      <c r="AB161" s="1" t="s">
        <v>282</v>
      </c>
      <c r="AC161" s="1">
        <v>1631</v>
      </c>
    </row>
    <row r="162" spans="28:29">
      <c r="AB162" s="1" t="s">
        <v>283</v>
      </c>
      <c r="AC162" s="1">
        <v>1637</v>
      </c>
    </row>
    <row r="163" spans="28:29">
      <c r="AB163" s="1" t="s">
        <v>284</v>
      </c>
      <c r="AC163" s="1">
        <v>1643</v>
      </c>
    </row>
    <row r="164" spans="28:29">
      <c r="AB164" s="1" t="s">
        <v>285</v>
      </c>
      <c r="AC164" s="1">
        <v>1649</v>
      </c>
    </row>
    <row r="165" spans="28:29">
      <c r="AB165" s="1" t="s">
        <v>286</v>
      </c>
      <c r="AC165" s="1">
        <v>1655</v>
      </c>
    </row>
    <row r="166" spans="28:29">
      <c r="AB166" s="1" t="s">
        <v>287</v>
      </c>
      <c r="AC166" s="1">
        <v>1661</v>
      </c>
    </row>
    <row r="167" spans="28:29">
      <c r="AB167" s="1" t="s">
        <v>288</v>
      </c>
      <c r="AC167" s="1">
        <v>1667</v>
      </c>
    </row>
    <row r="168" spans="28:29">
      <c r="AB168" s="1" t="s">
        <v>289</v>
      </c>
      <c r="AC168" s="1">
        <v>1673</v>
      </c>
    </row>
    <row r="169" spans="28:29">
      <c r="AB169" s="1" t="s">
        <v>290</v>
      </c>
      <c r="AC169" s="1">
        <v>1679</v>
      </c>
    </row>
    <row r="170" spans="28:29">
      <c r="AB170" s="1" t="s">
        <v>291</v>
      </c>
      <c r="AC170" s="1">
        <v>1685</v>
      </c>
    </row>
    <row r="171" spans="28:29">
      <c r="AB171" s="1" t="s">
        <v>292</v>
      </c>
      <c r="AC171" s="1">
        <v>1691</v>
      </c>
    </row>
    <row r="172" spans="28:29">
      <c r="AB172" s="1" t="s">
        <v>293</v>
      </c>
      <c r="AC172" s="1">
        <v>1697</v>
      </c>
    </row>
    <row r="173" spans="28:29">
      <c r="AB173" s="1" t="s">
        <v>294</v>
      </c>
      <c r="AC173" s="1">
        <v>1703</v>
      </c>
    </row>
    <row r="174" spans="28:29">
      <c r="AB174" s="1" t="s">
        <v>295</v>
      </c>
      <c r="AC174" s="1">
        <v>1709</v>
      </c>
    </row>
    <row r="175" spans="28:29">
      <c r="AB175" s="1" t="s">
        <v>296</v>
      </c>
      <c r="AC175" s="1">
        <v>1715</v>
      </c>
    </row>
    <row r="176" spans="28:29">
      <c r="AB176" s="1" t="s">
        <v>297</v>
      </c>
      <c r="AC176" s="1">
        <v>1721</v>
      </c>
    </row>
    <row r="177" spans="28:29">
      <c r="AB177" s="1" t="s">
        <v>298</v>
      </c>
      <c r="AC177" s="1">
        <v>1727</v>
      </c>
    </row>
    <row r="178" spans="28:29">
      <c r="AB178" s="1" t="s">
        <v>299</v>
      </c>
      <c r="AC178" s="1">
        <v>1733</v>
      </c>
    </row>
    <row r="179" spans="28:29">
      <c r="AB179" s="1" t="s">
        <v>300</v>
      </c>
      <c r="AC179" s="1">
        <v>1739</v>
      </c>
    </row>
    <row r="180" spans="28:29">
      <c r="AB180" s="1" t="s">
        <v>301</v>
      </c>
      <c r="AC180" s="1">
        <v>1745</v>
      </c>
    </row>
    <row r="181" spans="28:29">
      <c r="AB181" s="1" t="s">
        <v>302</v>
      </c>
      <c r="AC181" s="1">
        <v>1751</v>
      </c>
    </row>
    <row r="182" spans="28:29">
      <c r="AB182" s="1" t="s">
        <v>303</v>
      </c>
      <c r="AC182" s="1">
        <v>1757</v>
      </c>
    </row>
    <row r="183" spans="28:29">
      <c r="AB183" s="1" t="s">
        <v>304</v>
      </c>
      <c r="AC183" s="1">
        <v>1763</v>
      </c>
    </row>
    <row r="184" spans="28:29">
      <c r="AB184" s="1" t="s">
        <v>305</v>
      </c>
      <c r="AC184" s="1">
        <v>1769</v>
      </c>
    </row>
    <row r="185" spans="28:29">
      <c r="AB185" s="1" t="s">
        <v>306</v>
      </c>
      <c r="AC185" s="1">
        <v>1775</v>
      </c>
    </row>
    <row r="186" spans="28:29">
      <c r="AB186" s="1" t="s">
        <v>307</v>
      </c>
      <c r="AC186" s="1">
        <v>1781</v>
      </c>
    </row>
    <row r="187" spans="28:29">
      <c r="AB187" s="1" t="s">
        <v>308</v>
      </c>
      <c r="AC187" s="1">
        <v>1787</v>
      </c>
    </row>
    <row r="188" spans="28:29">
      <c r="AB188" s="1" t="s">
        <v>309</v>
      </c>
      <c r="AC188" s="1">
        <v>1793</v>
      </c>
    </row>
    <row r="189" spans="28:29">
      <c r="AB189" s="1" t="s">
        <v>310</v>
      </c>
      <c r="AC189" s="1">
        <v>1799</v>
      </c>
    </row>
    <row r="190" spans="28:29">
      <c r="AB190" s="1" t="s">
        <v>311</v>
      </c>
      <c r="AC190" s="1">
        <v>1805</v>
      </c>
    </row>
    <row r="191" spans="28:29">
      <c r="AB191" s="1" t="s">
        <v>312</v>
      </c>
      <c r="AC191" s="1">
        <v>1811</v>
      </c>
    </row>
    <row r="192" spans="28:29">
      <c r="AB192" s="1" t="s">
        <v>313</v>
      </c>
      <c r="AC192" s="1">
        <v>1817</v>
      </c>
    </row>
    <row r="193" spans="28:29">
      <c r="AB193" s="1" t="s">
        <v>314</v>
      </c>
      <c r="AC193" s="1">
        <v>1823</v>
      </c>
    </row>
    <row r="194" spans="28:29">
      <c r="AB194" s="1" t="s">
        <v>315</v>
      </c>
      <c r="AC194" s="1">
        <v>1829</v>
      </c>
    </row>
    <row r="195" spans="28:29">
      <c r="AB195" s="1" t="s">
        <v>316</v>
      </c>
      <c r="AC195" s="1">
        <v>1835</v>
      </c>
    </row>
    <row r="196" spans="28:29">
      <c r="AB196" s="1" t="s">
        <v>317</v>
      </c>
      <c r="AC196" s="1">
        <v>1841</v>
      </c>
    </row>
    <row r="197" spans="28:29">
      <c r="AB197" s="1" t="s">
        <v>318</v>
      </c>
      <c r="AC197" s="1">
        <v>1847</v>
      </c>
    </row>
    <row r="198" spans="28:29">
      <c r="AB198" s="1" t="s">
        <v>319</v>
      </c>
      <c r="AC198" s="1">
        <v>1853</v>
      </c>
    </row>
    <row r="199" spans="28:29">
      <c r="AB199" s="1" t="s">
        <v>320</v>
      </c>
      <c r="AC199" s="1">
        <v>1859</v>
      </c>
    </row>
    <row r="200" spans="28:29">
      <c r="AB200" s="1" t="s">
        <v>321</v>
      </c>
      <c r="AC200" s="1">
        <v>1865</v>
      </c>
    </row>
    <row r="201" spans="28:29">
      <c r="AB201" s="1" t="s">
        <v>322</v>
      </c>
      <c r="AC201" s="1">
        <v>1871</v>
      </c>
    </row>
    <row r="202" spans="28:29">
      <c r="AB202" s="1" t="s">
        <v>323</v>
      </c>
      <c r="AC202" s="1">
        <v>1877</v>
      </c>
    </row>
    <row r="203" spans="28:29">
      <c r="AB203" s="1" t="s">
        <v>324</v>
      </c>
      <c r="AC203" s="1">
        <v>1883</v>
      </c>
    </row>
    <row r="204" spans="28:29">
      <c r="AB204" s="1" t="s">
        <v>325</v>
      </c>
      <c r="AC204" s="1">
        <v>1889</v>
      </c>
    </row>
    <row r="205" spans="28:29">
      <c r="AB205" s="1" t="s">
        <v>326</v>
      </c>
      <c r="AC205" s="1">
        <v>1895</v>
      </c>
    </row>
    <row r="206" spans="28:29">
      <c r="AB206" s="1" t="s">
        <v>327</v>
      </c>
      <c r="AC206" s="1">
        <v>1901</v>
      </c>
    </row>
    <row r="207" spans="28:29">
      <c r="AB207" s="1" t="s">
        <v>328</v>
      </c>
      <c r="AC207" s="1">
        <v>1907</v>
      </c>
    </row>
    <row r="208" spans="28:29">
      <c r="AB208" s="1" t="s">
        <v>329</v>
      </c>
      <c r="AC208" s="1">
        <v>1913</v>
      </c>
    </row>
    <row r="209" spans="28:29">
      <c r="AB209" s="1" t="s">
        <v>330</v>
      </c>
      <c r="AC209" s="1">
        <v>1919</v>
      </c>
    </row>
    <row r="210" spans="28:29">
      <c r="AB210" s="1" t="s">
        <v>331</v>
      </c>
      <c r="AC210" s="1">
        <v>1925</v>
      </c>
    </row>
    <row r="211" spans="28:29">
      <c r="AB211" s="1" t="s">
        <v>332</v>
      </c>
      <c r="AC211" s="1">
        <v>1931</v>
      </c>
    </row>
    <row r="212" spans="28:29">
      <c r="AB212" s="1" t="s">
        <v>333</v>
      </c>
      <c r="AC212" s="1">
        <v>1937</v>
      </c>
    </row>
    <row r="213" spans="28:29">
      <c r="AB213" s="1" t="s">
        <v>334</v>
      </c>
      <c r="AC213" s="1">
        <v>1943</v>
      </c>
    </row>
    <row r="214" spans="28:29">
      <c r="AB214" s="1" t="s">
        <v>335</v>
      </c>
      <c r="AC214" s="1">
        <v>1949</v>
      </c>
    </row>
    <row r="215" spans="28:29">
      <c r="AB215" s="1" t="s">
        <v>336</v>
      </c>
      <c r="AC215" s="1">
        <v>1955</v>
      </c>
    </row>
    <row r="216" spans="28:29">
      <c r="AB216" s="1" t="s">
        <v>337</v>
      </c>
      <c r="AC216" s="1">
        <v>1961</v>
      </c>
    </row>
    <row r="217" spans="28:29">
      <c r="AB217" s="1" t="s">
        <v>338</v>
      </c>
      <c r="AC217" s="1">
        <v>1967</v>
      </c>
    </row>
    <row r="218" spans="28:29">
      <c r="AB218" s="1" t="s">
        <v>339</v>
      </c>
      <c r="AC218" s="1">
        <v>1973</v>
      </c>
    </row>
    <row r="219" spans="28:29">
      <c r="AB219" s="1" t="s">
        <v>340</v>
      </c>
      <c r="AC219" s="1">
        <v>1979</v>
      </c>
    </row>
    <row r="220" spans="28:29">
      <c r="AB220" s="1" t="s">
        <v>341</v>
      </c>
      <c r="AC220" s="1">
        <v>1985</v>
      </c>
    </row>
    <row r="221" spans="28:29">
      <c r="AB221" s="1" t="s">
        <v>342</v>
      </c>
      <c r="AC221" s="1">
        <v>1991</v>
      </c>
    </row>
    <row r="222" spans="28:29">
      <c r="AB222" s="1" t="s">
        <v>343</v>
      </c>
      <c r="AC222" s="1">
        <v>1997</v>
      </c>
    </row>
    <row r="223" spans="28:29">
      <c r="AB223" s="1" t="s">
        <v>344</v>
      </c>
      <c r="AC223" s="1">
        <v>2003</v>
      </c>
    </row>
    <row r="224" spans="28:29">
      <c r="AB224" s="1" t="s">
        <v>345</v>
      </c>
      <c r="AC224" s="1">
        <v>2009</v>
      </c>
    </row>
    <row r="225" spans="28:29">
      <c r="AB225" s="1" t="s">
        <v>346</v>
      </c>
      <c r="AC225" s="1">
        <v>2015</v>
      </c>
    </row>
    <row r="226" spans="28:29">
      <c r="AB226" s="1" t="s">
        <v>347</v>
      </c>
      <c r="AC226" s="1">
        <v>2021</v>
      </c>
    </row>
    <row r="227" spans="28:29">
      <c r="AB227" s="1" t="s">
        <v>348</v>
      </c>
      <c r="AC227" s="1">
        <v>2027</v>
      </c>
    </row>
    <row r="228" spans="28:29">
      <c r="AB228" s="1" t="s">
        <v>349</v>
      </c>
      <c r="AC228" s="1">
        <v>2033</v>
      </c>
    </row>
    <row r="229" spans="28:29">
      <c r="AB229" s="1" t="s">
        <v>350</v>
      </c>
      <c r="AC229" s="1">
        <v>2039</v>
      </c>
    </row>
    <row r="230" spans="28:29">
      <c r="AB230" s="1" t="s">
        <v>351</v>
      </c>
      <c r="AC230" s="1">
        <v>2045</v>
      </c>
    </row>
    <row r="231" spans="28:29">
      <c r="AB231" s="1" t="s">
        <v>352</v>
      </c>
      <c r="AC231" s="1">
        <v>2051</v>
      </c>
    </row>
    <row r="232" spans="28:29">
      <c r="AB232" s="1" t="s">
        <v>353</v>
      </c>
      <c r="AC232" s="1">
        <v>2057</v>
      </c>
    </row>
    <row r="233" spans="28:29">
      <c r="AB233" s="1" t="s">
        <v>354</v>
      </c>
      <c r="AC233" s="1">
        <v>2063</v>
      </c>
    </row>
    <row r="234" spans="28:29">
      <c r="AB234" s="1" t="s">
        <v>355</v>
      </c>
      <c r="AC234" s="1">
        <v>2069</v>
      </c>
    </row>
    <row r="235" spans="28:29">
      <c r="AB235" s="1" t="s">
        <v>356</v>
      </c>
      <c r="AC235" s="1">
        <v>2075</v>
      </c>
    </row>
    <row r="236" spans="28:29">
      <c r="AB236" s="1" t="s">
        <v>357</v>
      </c>
      <c r="AC236" s="1">
        <v>2081</v>
      </c>
    </row>
    <row r="237" spans="28:29">
      <c r="AB237" s="1" t="s">
        <v>358</v>
      </c>
      <c r="AC237" s="1">
        <v>2087</v>
      </c>
    </row>
    <row r="238" spans="28:29">
      <c r="AB238" s="1" t="s">
        <v>359</v>
      </c>
      <c r="AC238" s="1">
        <v>2093</v>
      </c>
    </row>
    <row r="239" spans="28:29">
      <c r="AB239" s="1" t="s">
        <v>360</v>
      </c>
      <c r="AC239" s="1">
        <v>2099</v>
      </c>
    </row>
    <row r="240" spans="28:29">
      <c r="AB240" s="1" t="s">
        <v>361</v>
      </c>
      <c r="AC240" s="1">
        <v>2105</v>
      </c>
    </row>
    <row r="241" spans="28:29">
      <c r="AB241" s="1" t="s">
        <v>362</v>
      </c>
      <c r="AC241" s="1">
        <v>2111</v>
      </c>
    </row>
    <row r="242" spans="28:29">
      <c r="AB242" s="1" t="s">
        <v>363</v>
      </c>
      <c r="AC242" s="1">
        <v>2117</v>
      </c>
    </row>
    <row r="243" spans="28:29">
      <c r="AB243" s="1" t="s">
        <v>364</v>
      </c>
      <c r="AC243" s="1">
        <v>2123</v>
      </c>
    </row>
    <row r="244" spans="28:29">
      <c r="AB244" s="1" t="s">
        <v>365</v>
      </c>
      <c r="AC244" s="1">
        <v>2129</v>
      </c>
    </row>
    <row r="245" spans="28:29">
      <c r="AB245" s="1" t="s">
        <v>366</v>
      </c>
      <c r="AC245" s="1">
        <v>2135</v>
      </c>
    </row>
    <row r="246" spans="28:29">
      <c r="AB246" s="1" t="s">
        <v>367</v>
      </c>
      <c r="AC246" s="1">
        <v>2141</v>
      </c>
    </row>
    <row r="247" spans="28:29">
      <c r="AB247" s="1" t="s">
        <v>368</v>
      </c>
      <c r="AC247" s="1">
        <v>2147</v>
      </c>
    </row>
    <row r="248" spans="28:29">
      <c r="AB248" s="1" t="s">
        <v>369</v>
      </c>
      <c r="AC248" s="1">
        <v>2153</v>
      </c>
    </row>
    <row r="249" spans="28:29">
      <c r="AB249" s="1" t="s">
        <v>370</v>
      </c>
      <c r="AC249" s="1">
        <v>2159</v>
      </c>
    </row>
    <row r="250" spans="28:29">
      <c r="AB250" s="1" t="s">
        <v>371</v>
      </c>
      <c r="AC250" s="1">
        <v>2165</v>
      </c>
    </row>
    <row r="251" spans="28:29">
      <c r="AB251" s="1" t="s">
        <v>372</v>
      </c>
      <c r="AC251" s="1">
        <v>2171</v>
      </c>
    </row>
    <row r="252" spans="28:29">
      <c r="AB252" s="1" t="s">
        <v>373</v>
      </c>
      <c r="AC252" s="1">
        <v>2177</v>
      </c>
    </row>
    <row r="253" spans="28:29">
      <c r="AB253" s="1" t="s">
        <v>374</v>
      </c>
      <c r="AC253" s="1">
        <v>2183</v>
      </c>
    </row>
    <row r="254" spans="28:29">
      <c r="AB254" s="1" t="s">
        <v>375</v>
      </c>
      <c r="AC254" s="1">
        <v>2189</v>
      </c>
    </row>
    <row r="255" spans="28:29">
      <c r="AB255" s="1" t="s">
        <v>376</v>
      </c>
      <c r="AC255" s="1">
        <v>2195</v>
      </c>
    </row>
    <row r="256" spans="28:29">
      <c r="AB256" s="1" t="s">
        <v>377</v>
      </c>
      <c r="AC256" s="1">
        <v>2201</v>
      </c>
    </row>
    <row r="257" spans="28:29">
      <c r="AB257" s="1" t="s">
        <v>378</v>
      </c>
      <c r="AC257" s="1">
        <v>2207</v>
      </c>
    </row>
    <row r="258" spans="28:29">
      <c r="AB258" s="1" t="s">
        <v>379</v>
      </c>
      <c r="AC258" s="1">
        <v>2213</v>
      </c>
    </row>
    <row r="259" spans="28:29">
      <c r="AB259" s="1" t="s">
        <v>380</v>
      </c>
      <c r="AC259" s="1">
        <v>2219</v>
      </c>
    </row>
    <row r="260" spans="28:29">
      <c r="AB260" s="1" t="s">
        <v>381</v>
      </c>
      <c r="AC260" s="1">
        <v>2225</v>
      </c>
    </row>
    <row r="261" spans="28:29">
      <c r="AB261" s="1" t="s">
        <v>382</v>
      </c>
      <c r="AC261" s="1">
        <v>2231</v>
      </c>
    </row>
    <row r="262" spans="28:29">
      <c r="AB262" s="1" t="s">
        <v>383</v>
      </c>
      <c r="AC262" s="1">
        <v>2237</v>
      </c>
    </row>
    <row r="263" spans="28:29">
      <c r="AB263" s="1" t="s">
        <v>384</v>
      </c>
      <c r="AC263" s="1">
        <v>2243</v>
      </c>
    </row>
    <row r="264" spans="28:29">
      <c r="AB264" s="1" t="s">
        <v>385</v>
      </c>
      <c r="AC264" s="1">
        <v>2249</v>
      </c>
    </row>
    <row r="265" spans="28:29">
      <c r="AB265" s="1" t="s">
        <v>386</v>
      </c>
      <c r="AC265" s="1">
        <v>2255</v>
      </c>
    </row>
    <row r="266" spans="28:29">
      <c r="AB266" s="1" t="s">
        <v>387</v>
      </c>
      <c r="AC266" s="1">
        <v>2261</v>
      </c>
    </row>
    <row r="267" spans="28:29">
      <c r="AB267" s="1" t="s">
        <v>388</v>
      </c>
      <c r="AC267" s="1">
        <v>2267</v>
      </c>
    </row>
    <row r="268" spans="28:29">
      <c r="AB268" s="1" t="s">
        <v>389</v>
      </c>
      <c r="AC268" s="1">
        <v>2273</v>
      </c>
    </row>
    <row r="269" spans="28:29">
      <c r="AB269" s="1" t="s">
        <v>390</v>
      </c>
      <c r="AC269" s="1">
        <v>2279</v>
      </c>
    </row>
    <row r="270" spans="28:29">
      <c r="AB270" s="1" t="s">
        <v>391</v>
      </c>
      <c r="AC270" s="1">
        <v>2285</v>
      </c>
    </row>
    <row r="271" spans="28:29">
      <c r="AB271" s="1" t="s">
        <v>392</v>
      </c>
      <c r="AC271" s="1">
        <v>2291</v>
      </c>
    </row>
    <row r="272" spans="28:29">
      <c r="AB272" s="1" t="s">
        <v>393</v>
      </c>
      <c r="AC272" s="1">
        <v>2297</v>
      </c>
    </row>
    <row r="273" spans="28:29">
      <c r="AB273" s="1" t="s">
        <v>394</v>
      </c>
      <c r="AC273" s="1">
        <v>2303</v>
      </c>
    </row>
    <row r="274" spans="28:29">
      <c r="AB274" s="1" t="s">
        <v>395</v>
      </c>
      <c r="AC274" s="1">
        <v>2309</v>
      </c>
    </row>
    <row r="275" spans="28:29">
      <c r="AB275" s="1" t="s">
        <v>396</v>
      </c>
      <c r="AC275" s="1">
        <v>2315</v>
      </c>
    </row>
    <row r="276" spans="28:29">
      <c r="AB276" s="1" t="s">
        <v>397</v>
      </c>
      <c r="AC276" s="1">
        <v>2321</v>
      </c>
    </row>
    <row r="277" spans="28:29">
      <c r="AB277" s="1" t="s">
        <v>398</v>
      </c>
      <c r="AC277" s="1">
        <v>2327</v>
      </c>
    </row>
    <row r="278" spans="28:29">
      <c r="AB278" s="1" t="s">
        <v>399</v>
      </c>
      <c r="AC278" s="1">
        <v>2333</v>
      </c>
    </row>
    <row r="279" spans="28:29">
      <c r="AB279" s="1" t="s">
        <v>400</v>
      </c>
      <c r="AC279" s="1">
        <v>2339</v>
      </c>
    </row>
    <row r="280" spans="28:29">
      <c r="AB280" s="1" t="s">
        <v>401</v>
      </c>
      <c r="AC280" s="1">
        <v>2345</v>
      </c>
    </row>
    <row r="281" spans="28:29">
      <c r="AB281" s="1" t="s">
        <v>402</v>
      </c>
      <c r="AC281" s="1">
        <v>2351</v>
      </c>
    </row>
    <row r="282" spans="28:29">
      <c r="AB282" s="1" t="s">
        <v>403</v>
      </c>
      <c r="AC282" s="1">
        <v>2357</v>
      </c>
    </row>
    <row r="283" spans="28:29">
      <c r="AB283" s="1" t="s">
        <v>404</v>
      </c>
      <c r="AC283" s="1">
        <v>2363</v>
      </c>
    </row>
    <row r="284" spans="28:29">
      <c r="AB284" s="1" t="s">
        <v>405</v>
      </c>
      <c r="AC284" s="1">
        <v>2369</v>
      </c>
    </row>
    <row r="285" spans="28:29">
      <c r="AB285" s="1" t="s">
        <v>406</v>
      </c>
      <c r="AC285" s="1">
        <v>2375</v>
      </c>
    </row>
    <row r="286" spans="28:29">
      <c r="AB286" s="1" t="s">
        <v>407</v>
      </c>
      <c r="AC286" s="1">
        <v>2381</v>
      </c>
    </row>
    <row r="287" spans="28:29">
      <c r="AB287" s="1" t="s">
        <v>408</v>
      </c>
      <c r="AC287" s="1">
        <v>2387</v>
      </c>
    </row>
    <row r="288" spans="28:29">
      <c r="AB288" s="1" t="s">
        <v>409</v>
      </c>
      <c r="AC288" s="1">
        <v>2393</v>
      </c>
    </row>
    <row r="289" spans="28:29">
      <c r="AB289" s="1" t="s">
        <v>410</v>
      </c>
      <c r="AC289" s="1">
        <v>2399</v>
      </c>
    </row>
    <row r="290" spans="28:29">
      <c r="AB290" s="1" t="s">
        <v>411</v>
      </c>
      <c r="AC290" s="1">
        <v>2405</v>
      </c>
    </row>
    <row r="291" spans="28:29">
      <c r="AB291" s="1" t="s">
        <v>412</v>
      </c>
      <c r="AC291" s="1">
        <v>2411</v>
      </c>
    </row>
    <row r="292" spans="28:29">
      <c r="AB292" s="1" t="s">
        <v>413</v>
      </c>
      <c r="AC292" s="1">
        <v>2417</v>
      </c>
    </row>
    <row r="293" spans="28:29">
      <c r="AB293" s="1" t="s">
        <v>414</v>
      </c>
      <c r="AC293" s="1">
        <v>2423</v>
      </c>
    </row>
    <row r="294" spans="28:29">
      <c r="AB294" s="1" t="s">
        <v>415</v>
      </c>
      <c r="AC294" s="1">
        <v>2429</v>
      </c>
    </row>
    <row r="295" spans="28:29">
      <c r="AB295" s="1" t="s">
        <v>416</v>
      </c>
      <c r="AC295" s="1">
        <v>2435</v>
      </c>
    </row>
    <row r="296" spans="28:29">
      <c r="AB296" s="1" t="s">
        <v>417</v>
      </c>
      <c r="AC296" s="1">
        <v>2441</v>
      </c>
    </row>
    <row r="297" spans="28:29">
      <c r="AB297" s="1" t="s">
        <v>418</v>
      </c>
      <c r="AC297" s="1">
        <v>2447</v>
      </c>
    </row>
    <row r="298" spans="28:29">
      <c r="AB298" s="1" t="s">
        <v>419</v>
      </c>
      <c r="AC298" s="1">
        <v>2453</v>
      </c>
    </row>
    <row r="299" spans="28:29">
      <c r="AB299" s="1" t="s">
        <v>420</v>
      </c>
      <c r="AC299" s="1">
        <v>2459</v>
      </c>
    </row>
    <row r="300" spans="28:29">
      <c r="AB300" s="1" t="s">
        <v>421</v>
      </c>
      <c r="AC300" s="1">
        <v>2465</v>
      </c>
    </row>
    <row r="301" spans="28:29">
      <c r="AB301" s="1" t="s">
        <v>422</v>
      </c>
      <c r="AC301" s="1">
        <v>2471</v>
      </c>
    </row>
    <row r="302" spans="28:29">
      <c r="AB302" s="1" t="s">
        <v>423</v>
      </c>
      <c r="AC302" s="1">
        <v>2477</v>
      </c>
    </row>
    <row r="303" spans="28:29">
      <c r="AB303" s="1" t="s">
        <v>424</v>
      </c>
      <c r="AC303" s="1">
        <v>2483</v>
      </c>
    </row>
    <row r="304" spans="28:29">
      <c r="AB304" s="1" t="s">
        <v>425</v>
      </c>
      <c r="AC304" s="1">
        <v>2489</v>
      </c>
    </row>
    <row r="305" spans="28:29">
      <c r="AB305" s="1" t="s">
        <v>426</v>
      </c>
      <c r="AC305" s="1">
        <v>2495</v>
      </c>
    </row>
    <row r="306" spans="28:29">
      <c r="AB306" s="1" t="s">
        <v>427</v>
      </c>
      <c r="AC306" s="1">
        <v>2501</v>
      </c>
    </row>
    <row r="307" spans="28:29">
      <c r="AB307" s="1" t="s">
        <v>428</v>
      </c>
      <c r="AC307" s="1">
        <v>2507</v>
      </c>
    </row>
    <row r="308" spans="28:29">
      <c r="AB308" s="1" t="s">
        <v>429</v>
      </c>
      <c r="AC308" s="1">
        <v>2513</v>
      </c>
    </row>
    <row r="309" spans="28:29">
      <c r="AB309" s="1" t="s">
        <v>430</v>
      </c>
      <c r="AC309" s="1">
        <v>2519</v>
      </c>
    </row>
    <row r="310" spans="28:29">
      <c r="AB310" s="1" t="s">
        <v>431</v>
      </c>
      <c r="AC310" s="1">
        <v>2525</v>
      </c>
    </row>
    <row r="311" spans="28:29">
      <c r="AB311" s="1" t="s">
        <v>432</v>
      </c>
      <c r="AC311" s="1">
        <v>2531</v>
      </c>
    </row>
    <row r="312" spans="28:29">
      <c r="AB312" s="1" t="s">
        <v>433</v>
      </c>
      <c r="AC312" s="1">
        <v>2537</v>
      </c>
    </row>
    <row r="313" spans="28:29">
      <c r="AB313" s="1" t="s">
        <v>434</v>
      </c>
      <c r="AC313" s="1">
        <v>2543</v>
      </c>
    </row>
    <row r="314" spans="28:29">
      <c r="AB314" s="1" t="s">
        <v>435</v>
      </c>
      <c r="AC314" s="1">
        <v>2549</v>
      </c>
    </row>
    <row r="315" spans="28:29">
      <c r="AB315" s="1" t="s">
        <v>436</v>
      </c>
      <c r="AC315" s="1">
        <v>2555</v>
      </c>
    </row>
    <row r="316" spans="28:29">
      <c r="AB316" s="1" t="s">
        <v>437</v>
      </c>
      <c r="AC316" s="1">
        <v>2561</v>
      </c>
    </row>
    <row r="317" spans="28:29">
      <c r="AB317" s="1" t="s">
        <v>438</v>
      </c>
      <c r="AC317" s="1">
        <v>2567</v>
      </c>
    </row>
    <row r="318" spans="28:29">
      <c r="AB318" s="1" t="s">
        <v>439</v>
      </c>
      <c r="AC318" s="1">
        <v>2573</v>
      </c>
    </row>
    <row r="319" spans="28:29">
      <c r="AB319" s="1" t="s">
        <v>440</v>
      </c>
      <c r="AC319" s="1">
        <v>2579</v>
      </c>
    </row>
    <row r="320" spans="28:29">
      <c r="AB320" s="1" t="s">
        <v>441</v>
      </c>
      <c r="AC320" s="1">
        <v>2585</v>
      </c>
    </row>
    <row r="321" spans="28:29">
      <c r="AB321" s="1" t="s">
        <v>442</v>
      </c>
      <c r="AC321" s="1">
        <v>2591</v>
      </c>
    </row>
    <row r="322" spans="28:29">
      <c r="AB322" s="1" t="s">
        <v>443</v>
      </c>
      <c r="AC322" s="1">
        <v>2597</v>
      </c>
    </row>
    <row r="323" spans="28:29">
      <c r="AB323" s="1" t="s">
        <v>444</v>
      </c>
      <c r="AC323" s="1">
        <v>2603</v>
      </c>
    </row>
    <row r="324" spans="28:29">
      <c r="AB324" s="1" t="s">
        <v>445</v>
      </c>
      <c r="AC324" s="1">
        <v>2609</v>
      </c>
    </row>
    <row r="325" spans="28:29">
      <c r="AB325" s="1" t="s">
        <v>446</v>
      </c>
      <c r="AC325" s="1">
        <v>2615</v>
      </c>
    </row>
    <row r="326" spans="28:29">
      <c r="AB326" s="1" t="s">
        <v>447</v>
      </c>
      <c r="AC326" s="1">
        <v>2621</v>
      </c>
    </row>
    <row r="327" spans="28:29">
      <c r="AB327" s="1" t="s">
        <v>448</v>
      </c>
      <c r="AC327" s="1">
        <v>2627</v>
      </c>
    </row>
    <row r="328" spans="28:29">
      <c r="AB328" s="1" t="s">
        <v>449</v>
      </c>
      <c r="AC328" s="1">
        <v>2633</v>
      </c>
    </row>
    <row r="329" spans="28:29">
      <c r="AB329" s="1" t="s">
        <v>450</v>
      </c>
      <c r="AC329" s="1">
        <v>2639</v>
      </c>
    </row>
    <row r="330" spans="28:29">
      <c r="AB330" s="1" t="s">
        <v>451</v>
      </c>
      <c r="AC330" s="1">
        <v>2645</v>
      </c>
    </row>
    <row r="331" spans="28:29">
      <c r="AB331" s="1" t="s">
        <v>452</v>
      </c>
      <c r="AC331" s="1">
        <v>2651</v>
      </c>
    </row>
    <row r="332" spans="28:29">
      <c r="AB332" s="1" t="s">
        <v>453</v>
      </c>
      <c r="AC332" s="1">
        <v>2657</v>
      </c>
    </row>
    <row r="333" spans="28:29">
      <c r="AB333" s="1" t="s">
        <v>454</v>
      </c>
      <c r="AC333" s="1">
        <v>2663</v>
      </c>
    </row>
    <row r="334" spans="28:29">
      <c r="AB334" s="1" t="s">
        <v>455</v>
      </c>
      <c r="AC334" s="1">
        <v>2669</v>
      </c>
    </row>
    <row r="335" spans="28:29">
      <c r="AB335" s="1" t="s">
        <v>456</v>
      </c>
      <c r="AC335" s="1">
        <v>2675</v>
      </c>
    </row>
    <row r="336" spans="28:29">
      <c r="AB336" s="1" t="s">
        <v>457</v>
      </c>
      <c r="AC336" s="1">
        <v>2681</v>
      </c>
    </row>
    <row r="337" spans="28:29">
      <c r="AB337" s="1" t="s">
        <v>458</v>
      </c>
      <c r="AC337" s="1">
        <v>2687</v>
      </c>
    </row>
    <row r="338" spans="28:29">
      <c r="AB338" s="1" t="s">
        <v>459</v>
      </c>
      <c r="AC338" s="1">
        <v>2693</v>
      </c>
    </row>
    <row r="339" spans="28:29">
      <c r="AB339" s="1" t="s">
        <v>460</v>
      </c>
      <c r="AC339" s="1">
        <v>2699</v>
      </c>
    </row>
    <row r="340" spans="28:29">
      <c r="AB340" s="1" t="s">
        <v>461</v>
      </c>
      <c r="AC340" s="1">
        <v>2705</v>
      </c>
    </row>
    <row r="341" spans="28:29">
      <c r="AB341" s="1" t="s">
        <v>462</v>
      </c>
      <c r="AC341" s="1">
        <v>2711</v>
      </c>
    </row>
    <row r="342" spans="28:29">
      <c r="AB342" s="1" t="s">
        <v>463</v>
      </c>
      <c r="AC342" s="1">
        <v>2717</v>
      </c>
    </row>
    <row r="343" spans="28:29">
      <c r="AB343" s="1" t="s">
        <v>464</v>
      </c>
      <c r="AC343" s="1">
        <v>2723</v>
      </c>
    </row>
    <row r="344" spans="28:29">
      <c r="AB344" s="1" t="s">
        <v>465</v>
      </c>
      <c r="AC344" s="1">
        <v>2729</v>
      </c>
    </row>
    <row r="345" spans="28:29">
      <c r="AB345" s="1" t="s">
        <v>466</v>
      </c>
      <c r="AC345" s="1">
        <v>2735</v>
      </c>
    </row>
    <row r="346" spans="28:29">
      <c r="AB346" s="1" t="s">
        <v>467</v>
      </c>
      <c r="AC346" s="1">
        <v>2741</v>
      </c>
    </row>
    <row r="347" spans="28:29">
      <c r="AB347" s="1" t="s">
        <v>468</v>
      </c>
      <c r="AC347" s="1">
        <v>2747</v>
      </c>
    </row>
    <row r="348" spans="28:29">
      <c r="AB348" s="1" t="s">
        <v>469</v>
      </c>
      <c r="AC348" s="1">
        <v>2753</v>
      </c>
    </row>
    <row r="349" spans="28:29">
      <c r="AB349" s="1" t="s">
        <v>470</v>
      </c>
      <c r="AC349" s="1">
        <v>2759</v>
      </c>
    </row>
    <row r="350" spans="28:29">
      <c r="AB350" s="1" t="s">
        <v>471</v>
      </c>
      <c r="AC350" s="1">
        <v>2765</v>
      </c>
    </row>
    <row r="351" spans="28:29">
      <c r="AB351" s="1" t="s">
        <v>472</v>
      </c>
      <c r="AC351" s="1">
        <v>2771</v>
      </c>
    </row>
    <row r="352" spans="28:29">
      <c r="AB352" s="1" t="s">
        <v>473</v>
      </c>
      <c r="AC352" s="1">
        <v>2777</v>
      </c>
    </row>
    <row r="353" spans="28:29">
      <c r="AB353" s="1" t="s">
        <v>474</v>
      </c>
      <c r="AC353" s="1">
        <v>2783</v>
      </c>
    </row>
    <row r="354" spans="28:29">
      <c r="AB354" s="1" t="s">
        <v>475</v>
      </c>
      <c r="AC354" s="1">
        <v>2789</v>
      </c>
    </row>
    <row r="355" spans="28:29">
      <c r="AB355" s="1" t="s">
        <v>476</v>
      </c>
      <c r="AC355" s="1">
        <v>2795</v>
      </c>
    </row>
    <row r="356" spans="28:29">
      <c r="AB356" s="1" t="s">
        <v>477</v>
      </c>
      <c r="AC356" s="1">
        <v>2801</v>
      </c>
    </row>
    <row r="357" spans="28:29">
      <c r="AB357" s="1" t="s">
        <v>478</v>
      </c>
      <c r="AC357" s="1">
        <v>2807</v>
      </c>
    </row>
    <row r="358" spans="28:29">
      <c r="AB358" s="1" t="s">
        <v>479</v>
      </c>
      <c r="AC358" s="1">
        <v>2813</v>
      </c>
    </row>
    <row r="359" spans="28:29">
      <c r="AB359" s="1" t="s">
        <v>480</v>
      </c>
      <c r="AC359" s="1">
        <v>2819</v>
      </c>
    </row>
    <row r="360" spans="28:29">
      <c r="AB360" s="1" t="s">
        <v>481</v>
      </c>
      <c r="AC360" s="1">
        <v>2825</v>
      </c>
    </row>
    <row r="361" spans="28:29">
      <c r="AB361" s="1" t="s">
        <v>482</v>
      </c>
      <c r="AC361" s="1">
        <v>2831</v>
      </c>
    </row>
    <row r="362" spans="28:29">
      <c r="AB362" s="1" t="s">
        <v>483</v>
      </c>
      <c r="AC362" s="1">
        <v>2837</v>
      </c>
    </row>
    <row r="363" spans="28:29">
      <c r="AB363" s="1" t="s">
        <v>484</v>
      </c>
      <c r="AC363" s="1">
        <v>2843</v>
      </c>
    </row>
    <row r="364" spans="28:29">
      <c r="AB364" s="1" t="s">
        <v>485</v>
      </c>
      <c r="AC364" s="1">
        <v>2849</v>
      </c>
    </row>
    <row r="365" spans="28:29">
      <c r="AB365" s="1" t="s">
        <v>486</v>
      </c>
      <c r="AC365" s="1">
        <v>2855</v>
      </c>
    </row>
    <row r="366" spans="28:29">
      <c r="AB366" s="1" t="s">
        <v>487</v>
      </c>
      <c r="AC366" s="1">
        <v>2861</v>
      </c>
    </row>
    <row r="367" spans="28:29">
      <c r="AB367" s="1" t="s">
        <v>488</v>
      </c>
      <c r="AC367" s="1">
        <v>2867</v>
      </c>
    </row>
    <row r="368" spans="28:29">
      <c r="AB368" s="1" t="s">
        <v>489</v>
      </c>
      <c r="AC368" s="1">
        <v>2873</v>
      </c>
    </row>
    <row r="369" spans="28:29">
      <c r="AB369" s="1" t="s">
        <v>490</v>
      </c>
      <c r="AC369" s="1">
        <v>2879</v>
      </c>
    </row>
    <row r="370" spans="28:29">
      <c r="AB370" s="1" t="s">
        <v>491</v>
      </c>
      <c r="AC370" s="1">
        <v>2885</v>
      </c>
    </row>
    <row r="371" spans="28:29">
      <c r="AB371" s="1" t="s">
        <v>492</v>
      </c>
      <c r="AC371" s="1">
        <v>2891</v>
      </c>
    </row>
    <row r="372" spans="28:29">
      <c r="AB372" s="1" t="s">
        <v>493</v>
      </c>
      <c r="AC372" s="1">
        <v>2897</v>
      </c>
    </row>
    <row r="373" spans="28:29">
      <c r="AB373" s="1" t="s">
        <v>494</v>
      </c>
      <c r="AC373" s="1">
        <v>2903</v>
      </c>
    </row>
    <row r="374" spans="28:29">
      <c r="AB374" s="1" t="s">
        <v>495</v>
      </c>
      <c r="AC374" s="1">
        <v>2909</v>
      </c>
    </row>
    <row r="375" spans="28:29">
      <c r="AB375" s="1" t="s">
        <v>496</v>
      </c>
      <c r="AC375" s="1">
        <v>2915</v>
      </c>
    </row>
    <row r="376" spans="28:29">
      <c r="AB376" s="1" t="s">
        <v>497</v>
      </c>
      <c r="AC376" s="1">
        <v>2921</v>
      </c>
    </row>
    <row r="377" spans="28:29">
      <c r="AB377" s="1" t="s">
        <v>498</v>
      </c>
      <c r="AC377" s="1">
        <v>2927</v>
      </c>
    </row>
    <row r="378" spans="28:29">
      <c r="AB378" s="1" t="s">
        <v>499</v>
      </c>
      <c r="AC378" s="1">
        <v>2933</v>
      </c>
    </row>
    <row r="379" spans="28:29">
      <c r="AB379" s="1" t="s">
        <v>500</v>
      </c>
      <c r="AC379" s="1">
        <v>2939</v>
      </c>
    </row>
    <row r="380" spans="28:29">
      <c r="AB380" s="1" t="s">
        <v>501</v>
      </c>
      <c r="AC380" s="1">
        <v>2945</v>
      </c>
    </row>
    <row r="381" spans="28:29">
      <c r="AB381" s="1" t="s">
        <v>502</v>
      </c>
      <c r="AC381" s="1">
        <v>2951</v>
      </c>
    </row>
    <row r="382" spans="28:29">
      <c r="AB382" s="1" t="s">
        <v>503</v>
      </c>
      <c r="AC382" s="1">
        <v>2957</v>
      </c>
    </row>
    <row r="383" spans="28:29">
      <c r="AB383" s="1" t="s">
        <v>504</v>
      </c>
      <c r="AC383" s="1">
        <v>2963</v>
      </c>
    </row>
    <row r="384" spans="28:29">
      <c r="AB384" s="1" t="s">
        <v>505</v>
      </c>
      <c r="AC384" s="1">
        <v>2969</v>
      </c>
    </row>
    <row r="385" spans="28:29">
      <c r="AB385" s="1" t="s">
        <v>506</v>
      </c>
      <c r="AC385" s="1">
        <v>2975</v>
      </c>
    </row>
    <row r="386" spans="28:29">
      <c r="AB386" s="1" t="s">
        <v>507</v>
      </c>
      <c r="AC386" s="1">
        <v>2981</v>
      </c>
    </row>
    <row r="387" spans="28:29">
      <c r="AB387" s="1" t="s">
        <v>508</v>
      </c>
      <c r="AC387" s="1">
        <v>2987</v>
      </c>
    </row>
    <row r="388" spans="28:29">
      <c r="AB388" s="1" t="s">
        <v>509</v>
      </c>
      <c r="AC388" s="1">
        <v>2993</v>
      </c>
    </row>
    <row r="389" spans="28:29">
      <c r="AB389" s="1" t="s">
        <v>510</v>
      </c>
      <c r="AC389" s="1">
        <v>2999</v>
      </c>
    </row>
    <row r="390" spans="28:29">
      <c r="AB390" s="1" t="s">
        <v>511</v>
      </c>
      <c r="AC390" s="1">
        <v>3005</v>
      </c>
    </row>
    <row r="391" spans="28:29">
      <c r="AB391" s="1" t="s">
        <v>512</v>
      </c>
      <c r="AC391" s="1">
        <v>3011</v>
      </c>
    </row>
    <row r="392" spans="28:29">
      <c r="AB392" s="1" t="s">
        <v>513</v>
      </c>
      <c r="AC392" s="1">
        <v>3017</v>
      </c>
    </row>
    <row r="393" spans="28:29">
      <c r="AB393" s="1" t="s">
        <v>514</v>
      </c>
      <c r="AC393" s="1">
        <v>3023</v>
      </c>
    </row>
    <row r="394" spans="28:29">
      <c r="AB394" s="1" t="s">
        <v>515</v>
      </c>
      <c r="AC394" s="1">
        <v>3029</v>
      </c>
    </row>
    <row r="395" spans="28:29">
      <c r="AB395" s="1" t="s">
        <v>516</v>
      </c>
      <c r="AC395" s="1">
        <v>3035</v>
      </c>
    </row>
    <row r="396" spans="28:29">
      <c r="AB396" s="1" t="s">
        <v>517</v>
      </c>
      <c r="AC396" s="1">
        <v>3041</v>
      </c>
    </row>
    <row r="397" spans="28:29">
      <c r="AB397" s="1" t="s">
        <v>518</v>
      </c>
      <c r="AC397" s="1">
        <v>3047</v>
      </c>
    </row>
    <row r="398" spans="28:29">
      <c r="AB398" s="1" t="s">
        <v>519</v>
      </c>
      <c r="AC398" s="1">
        <v>3053</v>
      </c>
    </row>
    <row r="399" spans="28:29">
      <c r="AB399" s="1" t="s">
        <v>520</v>
      </c>
      <c r="AC399" s="1">
        <v>3059</v>
      </c>
    </row>
    <row r="400" spans="28:29">
      <c r="AB400" s="1" t="s">
        <v>521</v>
      </c>
      <c r="AC400" s="1">
        <v>3065</v>
      </c>
    </row>
    <row r="401" spans="28:29">
      <c r="AB401" s="1" t="s">
        <v>522</v>
      </c>
      <c r="AC401" s="1">
        <v>3071</v>
      </c>
    </row>
    <row r="402" spans="28:29">
      <c r="AB402" s="1" t="s">
        <v>523</v>
      </c>
      <c r="AC402" s="1">
        <v>3077</v>
      </c>
    </row>
    <row r="403" spans="28:29">
      <c r="AB403" s="1" t="s">
        <v>524</v>
      </c>
      <c r="AC403" s="1">
        <v>3083</v>
      </c>
    </row>
    <row r="404" spans="28:29">
      <c r="AB404" s="1" t="s">
        <v>525</v>
      </c>
      <c r="AC404" s="1">
        <v>3089</v>
      </c>
    </row>
    <row r="405" spans="28:29">
      <c r="AB405" s="1" t="s">
        <v>526</v>
      </c>
      <c r="AC405" s="1">
        <v>3095</v>
      </c>
    </row>
    <row r="406" spans="28:29">
      <c r="AB406" s="1" t="s">
        <v>527</v>
      </c>
      <c r="AC406" s="1">
        <v>3101</v>
      </c>
    </row>
    <row r="407" spans="28:29">
      <c r="AB407" s="1" t="s">
        <v>528</v>
      </c>
      <c r="AC407" s="1">
        <v>3107</v>
      </c>
    </row>
    <row r="408" spans="28:29">
      <c r="AB408" s="1" t="s">
        <v>529</v>
      </c>
      <c r="AC408" s="1">
        <v>3113</v>
      </c>
    </row>
    <row r="409" spans="28:29">
      <c r="AB409" s="1" t="s">
        <v>530</v>
      </c>
      <c r="AC409" s="1">
        <v>3119</v>
      </c>
    </row>
    <row r="410" spans="28:29">
      <c r="AB410" s="1" t="s">
        <v>531</v>
      </c>
      <c r="AC410" s="1">
        <v>3125</v>
      </c>
    </row>
    <row r="411" spans="28:29">
      <c r="AB411" s="1" t="s">
        <v>532</v>
      </c>
      <c r="AC411" s="1">
        <v>3131</v>
      </c>
    </row>
    <row r="412" spans="28:29">
      <c r="AB412" s="1" t="s">
        <v>533</v>
      </c>
      <c r="AC412" s="1">
        <v>3137</v>
      </c>
    </row>
    <row r="413" spans="28:29">
      <c r="AB413" s="1" t="s">
        <v>534</v>
      </c>
      <c r="AC413" s="1">
        <v>3143</v>
      </c>
    </row>
    <row r="414" spans="28:29">
      <c r="AB414" s="1" t="s">
        <v>535</v>
      </c>
      <c r="AC414" s="1">
        <v>3149</v>
      </c>
    </row>
    <row r="415" spans="28:29">
      <c r="AB415" s="1" t="s">
        <v>536</v>
      </c>
      <c r="AC415" s="1">
        <v>3155</v>
      </c>
    </row>
    <row r="416" spans="28:29">
      <c r="AB416" s="1" t="s">
        <v>537</v>
      </c>
      <c r="AC416" s="1">
        <v>3161</v>
      </c>
    </row>
    <row r="417" spans="28:29">
      <c r="AB417" s="1" t="s">
        <v>538</v>
      </c>
      <c r="AC417" s="1">
        <v>3167</v>
      </c>
    </row>
    <row r="418" spans="28:29">
      <c r="AB418" s="1" t="s">
        <v>539</v>
      </c>
      <c r="AC418" s="1">
        <v>3173</v>
      </c>
    </row>
    <row r="419" spans="28:29">
      <c r="AB419" s="1" t="s">
        <v>540</v>
      </c>
      <c r="AC419" s="1">
        <v>3179</v>
      </c>
    </row>
    <row r="420" spans="28:29">
      <c r="AB420" s="1" t="s">
        <v>541</v>
      </c>
      <c r="AC420" s="1">
        <v>3185</v>
      </c>
    </row>
    <row r="421" spans="28:29">
      <c r="AB421" s="1" t="s">
        <v>542</v>
      </c>
      <c r="AC421" s="1">
        <v>3191</v>
      </c>
    </row>
    <row r="422" spans="28:29">
      <c r="AB422" s="1" t="s">
        <v>543</v>
      </c>
      <c r="AC422" s="1">
        <v>3197</v>
      </c>
    </row>
    <row r="423" spans="28:29">
      <c r="AB423" s="1" t="s">
        <v>544</v>
      </c>
      <c r="AC423" s="1">
        <v>3203</v>
      </c>
    </row>
    <row r="424" spans="28:29">
      <c r="AB424" s="1" t="s">
        <v>545</v>
      </c>
      <c r="AC424" s="1">
        <v>3209</v>
      </c>
    </row>
    <row r="425" spans="28:29">
      <c r="AB425" s="1" t="s">
        <v>546</v>
      </c>
      <c r="AC425" s="1">
        <v>3215</v>
      </c>
    </row>
    <row r="426" spans="28:29">
      <c r="AB426" s="1" t="s">
        <v>547</v>
      </c>
      <c r="AC426" s="1">
        <v>3221</v>
      </c>
    </row>
    <row r="427" spans="28:29">
      <c r="AB427" s="1" t="s">
        <v>548</v>
      </c>
      <c r="AC427" s="1">
        <v>3227</v>
      </c>
    </row>
    <row r="428" spans="28:29">
      <c r="AB428" s="1" t="s">
        <v>549</v>
      </c>
      <c r="AC428" s="1">
        <v>3233</v>
      </c>
    </row>
    <row r="429" spans="28:29">
      <c r="AB429" s="1" t="s">
        <v>550</v>
      </c>
      <c r="AC429" s="1">
        <v>3239</v>
      </c>
    </row>
    <row r="430" spans="28:29">
      <c r="AB430" s="1" t="s">
        <v>551</v>
      </c>
      <c r="AC430" s="1">
        <v>3245</v>
      </c>
    </row>
    <row r="431" spans="28:29">
      <c r="AB431" s="1" t="s">
        <v>552</v>
      </c>
      <c r="AC431" s="1">
        <v>3251</v>
      </c>
    </row>
    <row r="432" spans="28:29">
      <c r="AB432" s="1" t="s">
        <v>553</v>
      </c>
      <c r="AC432" s="1">
        <v>3257</v>
      </c>
    </row>
    <row r="433" spans="28:29">
      <c r="AB433" s="1" t="s">
        <v>554</v>
      </c>
      <c r="AC433" s="1">
        <v>3263</v>
      </c>
    </row>
    <row r="434" spans="28:29">
      <c r="AB434" s="1" t="s">
        <v>555</v>
      </c>
      <c r="AC434" s="1">
        <v>3269</v>
      </c>
    </row>
    <row r="435" spans="28:29">
      <c r="AB435" s="1" t="s">
        <v>556</v>
      </c>
      <c r="AC435" s="1">
        <v>3275</v>
      </c>
    </row>
    <row r="436" spans="28:29">
      <c r="AB436" s="1" t="s">
        <v>557</v>
      </c>
      <c r="AC436" s="1">
        <v>3281</v>
      </c>
    </row>
    <row r="437" spans="28:29">
      <c r="AB437" s="1" t="s">
        <v>558</v>
      </c>
      <c r="AC437" s="1">
        <v>3287</v>
      </c>
    </row>
    <row r="438" spans="28:29">
      <c r="AB438" s="1" t="s">
        <v>559</v>
      </c>
      <c r="AC438" s="1">
        <v>3293</v>
      </c>
    </row>
    <row r="439" spans="28:29">
      <c r="AB439" s="1" t="s">
        <v>560</v>
      </c>
      <c r="AC439" s="1">
        <v>3299</v>
      </c>
    </row>
    <row r="440" spans="28:29">
      <c r="AB440" s="1" t="s">
        <v>561</v>
      </c>
      <c r="AC440" s="1">
        <v>3305</v>
      </c>
    </row>
    <row r="441" spans="28:29">
      <c r="AB441" s="1" t="s">
        <v>562</v>
      </c>
      <c r="AC441" s="1">
        <v>3311</v>
      </c>
    </row>
    <row r="442" spans="28:29">
      <c r="AB442" s="1" t="s">
        <v>563</v>
      </c>
      <c r="AC442" s="1">
        <v>3317</v>
      </c>
    </row>
    <row r="443" spans="28:29">
      <c r="AB443" s="1" t="s">
        <v>564</v>
      </c>
      <c r="AC443" s="1">
        <v>3323</v>
      </c>
    </row>
    <row r="444" spans="28:29">
      <c r="AB444" s="1" t="s">
        <v>565</v>
      </c>
      <c r="AC444" s="1">
        <v>3329</v>
      </c>
    </row>
    <row r="445" spans="28:29">
      <c r="AB445" s="1" t="s">
        <v>566</v>
      </c>
      <c r="AC445" s="1">
        <v>3335</v>
      </c>
    </row>
    <row r="446" spans="28:29">
      <c r="AB446" s="1" t="s">
        <v>567</v>
      </c>
      <c r="AC446" s="1">
        <v>3341</v>
      </c>
    </row>
    <row r="447" spans="28:29">
      <c r="AB447" s="1" t="s">
        <v>568</v>
      </c>
      <c r="AC447" s="1">
        <v>3347</v>
      </c>
    </row>
    <row r="448" spans="28:29">
      <c r="AB448" s="1" t="s">
        <v>569</v>
      </c>
      <c r="AC448" s="1">
        <v>3353</v>
      </c>
    </row>
    <row r="449" spans="28:29">
      <c r="AB449" s="1" t="s">
        <v>570</v>
      </c>
      <c r="AC449" s="1">
        <v>3359</v>
      </c>
    </row>
    <row r="450" spans="28:29">
      <c r="AB450" s="1" t="s">
        <v>571</v>
      </c>
      <c r="AC450" s="1">
        <v>3365</v>
      </c>
    </row>
    <row r="451" spans="28:29">
      <c r="AB451" s="1" t="s">
        <v>572</v>
      </c>
      <c r="AC451" s="1">
        <v>3371</v>
      </c>
    </row>
    <row r="452" spans="28:29">
      <c r="AB452" s="1" t="s">
        <v>573</v>
      </c>
      <c r="AC452" s="1">
        <v>3377</v>
      </c>
    </row>
    <row r="453" spans="28:29">
      <c r="AB453" s="1" t="s">
        <v>574</v>
      </c>
      <c r="AC453" s="1">
        <v>3383</v>
      </c>
    </row>
    <row r="454" spans="28:29">
      <c r="AB454" s="1" t="s">
        <v>575</v>
      </c>
      <c r="AC454" s="1">
        <v>3389</v>
      </c>
    </row>
    <row r="455" spans="28:29">
      <c r="AB455" s="1" t="s">
        <v>576</v>
      </c>
      <c r="AC455" s="1">
        <v>3395</v>
      </c>
    </row>
    <row r="456" spans="28:29">
      <c r="AB456" s="1" t="s">
        <v>577</v>
      </c>
      <c r="AC456" s="1">
        <v>3401</v>
      </c>
    </row>
    <row r="457" spans="28:29">
      <c r="AB457" s="1" t="s">
        <v>578</v>
      </c>
      <c r="AC457" s="1">
        <v>3407</v>
      </c>
    </row>
    <row r="458" spans="28:29">
      <c r="AB458" s="1" t="s">
        <v>579</v>
      </c>
      <c r="AC458" s="1">
        <v>3413</v>
      </c>
    </row>
    <row r="459" spans="28:29">
      <c r="AB459" s="1" t="s">
        <v>580</v>
      </c>
      <c r="AC459" s="1">
        <v>3419</v>
      </c>
    </row>
    <row r="460" spans="28:29">
      <c r="AB460" s="1" t="s">
        <v>581</v>
      </c>
      <c r="AC460" s="1">
        <v>3425</v>
      </c>
    </row>
    <row r="461" spans="28:29">
      <c r="AB461" s="1" t="s">
        <v>582</v>
      </c>
      <c r="AC461" s="1">
        <v>3431</v>
      </c>
    </row>
    <row r="462" spans="28:29">
      <c r="AB462" s="1" t="s">
        <v>583</v>
      </c>
      <c r="AC462" s="1">
        <v>3437</v>
      </c>
    </row>
    <row r="463" spans="28:29">
      <c r="AB463" s="1" t="s">
        <v>584</v>
      </c>
      <c r="AC463" s="1">
        <v>3443</v>
      </c>
    </row>
    <row r="464" spans="28:29">
      <c r="AB464" s="1" t="s">
        <v>585</v>
      </c>
      <c r="AC464" s="1">
        <v>3449</v>
      </c>
    </row>
    <row r="465" spans="28:29">
      <c r="AB465" s="1" t="s">
        <v>586</v>
      </c>
      <c r="AC465" s="1">
        <v>3455</v>
      </c>
    </row>
    <row r="466" spans="28:29">
      <c r="AB466" s="1" t="s">
        <v>587</v>
      </c>
      <c r="AC466" s="1">
        <v>3461</v>
      </c>
    </row>
    <row r="467" spans="28:29">
      <c r="AB467" s="1" t="s">
        <v>588</v>
      </c>
      <c r="AC467" s="1">
        <v>3467</v>
      </c>
    </row>
    <row r="468" spans="28:29">
      <c r="AB468" s="1" t="s">
        <v>589</v>
      </c>
      <c r="AC468" s="1">
        <v>3473</v>
      </c>
    </row>
    <row r="469" spans="28:29">
      <c r="AB469" s="1" t="s">
        <v>590</v>
      </c>
      <c r="AC469" s="1">
        <v>3479</v>
      </c>
    </row>
    <row r="470" spans="28:29">
      <c r="AB470" s="1" t="s">
        <v>591</v>
      </c>
      <c r="AC470" s="1">
        <v>3485</v>
      </c>
    </row>
    <row r="471" spans="28:29">
      <c r="AB471" s="1" t="s">
        <v>592</v>
      </c>
      <c r="AC471" s="1">
        <v>3491</v>
      </c>
    </row>
    <row r="472" spans="28:29">
      <c r="AB472" s="1" t="s">
        <v>593</v>
      </c>
      <c r="AC472" s="1">
        <v>3497</v>
      </c>
    </row>
    <row r="473" spans="28:29">
      <c r="AB473" s="1" t="s">
        <v>594</v>
      </c>
      <c r="AC473" s="1">
        <v>3503</v>
      </c>
    </row>
    <row r="474" spans="28:29">
      <c r="AB474" s="1" t="s">
        <v>595</v>
      </c>
      <c r="AC474" s="1">
        <v>3509</v>
      </c>
    </row>
    <row r="475" spans="28:29">
      <c r="AB475" s="1" t="s">
        <v>596</v>
      </c>
      <c r="AC475" s="1">
        <v>3515</v>
      </c>
    </row>
    <row r="476" spans="28:29">
      <c r="AB476" s="1" t="s">
        <v>597</v>
      </c>
      <c r="AC476" s="1">
        <v>3521</v>
      </c>
    </row>
    <row r="477" spans="28:29">
      <c r="AB477" s="1" t="s">
        <v>598</v>
      </c>
      <c r="AC477" s="1">
        <v>3527</v>
      </c>
    </row>
    <row r="478" spans="28:29">
      <c r="AB478" s="1" t="s">
        <v>599</v>
      </c>
      <c r="AC478" s="1">
        <v>3533</v>
      </c>
    </row>
    <row r="479" spans="28:29">
      <c r="AB479" s="1" t="s">
        <v>600</v>
      </c>
      <c r="AC479" s="1">
        <v>3539</v>
      </c>
    </row>
    <row r="480" spans="28:29">
      <c r="AB480" s="1" t="s">
        <v>601</v>
      </c>
      <c r="AC480" s="1">
        <v>3545</v>
      </c>
    </row>
    <row r="481" spans="28:29">
      <c r="AB481" s="1" t="s">
        <v>602</v>
      </c>
      <c r="AC481" s="1">
        <v>3551</v>
      </c>
    </row>
    <row r="482" spans="28:29">
      <c r="AB482" s="1" t="s">
        <v>603</v>
      </c>
      <c r="AC482" s="1">
        <v>3557</v>
      </c>
    </row>
    <row r="483" spans="28:29">
      <c r="AB483" s="1" t="s">
        <v>604</v>
      </c>
      <c r="AC483" s="1">
        <v>3563</v>
      </c>
    </row>
    <row r="484" spans="28:29">
      <c r="AB484" s="1" t="s">
        <v>605</v>
      </c>
      <c r="AC484" s="1">
        <v>3569</v>
      </c>
    </row>
    <row r="485" spans="28:29">
      <c r="AB485" s="1" t="s">
        <v>606</v>
      </c>
      <c r="AC485" s="1">
        <v>3575</v>
      </c>
    </row>
    <row r="486" spans="28:29">
      <c r="AB486" s="1" t="s">
        <v>607</v>
      </c>
      <c r="AC486" s="1">
        <v>3581</v>
      </c>
    </row>
    <row r="487" spans="28:29">
      <c r="AB487" s="1" t="s">
        <v>608</v>
      </c>
      <c r="AC487" s="1">
        <v>3587</v>
      </c>
    </row>
    <row r="488" spans="28:29">
      <c r="AB488" s="1" t="s">
        <v>609</v>
      </c>
      <c r="AC488" s="1">
        <v>3593</v>
      </c>
    </row>
    <row r="489" spans="28:29">
      <c r="AB489" s="1" t="s">
        <v>610</v>
      </c>
      <c r="AC489" s="1">
        <v>3599</v>
      </c>
    </row>
    <row r="490" spans="28:29">
      <c r="AB490" s="1" t="s">
        <v>611</v>
      </c>
      <c r="AC490" s="1">
        <v>3605</v>
      </c>
    </row>
    <row r="491" spans="28:29">
      <c r="AB491" s="1" t="s">
        <v>612</v>
      </c>
      <c r="AC491" s="1">
        <v>3611</v>
      </c>
    </row>
    <row r="492" spans="28:29">
      <c r="AB492" s="1" t="s">
        <v>613</v>
      </c>
      <c r="AC492" s="1">
        <v>3617</v>
      </c>
    </row>
    <row r="493" spans="28:29">
      <c r="AB493" s="1" t="s">
        <v>614</v>
      </c>
      <c r="AC493" s="1">
        <v>3623</v>
      </c>
    </row>
    <row r="494" spans="28:29">
      <c r="AB494" s="1" t="s">
        <v>615</v>
      </c>
      <c r="AC494" s="1">
        <v>3629</v>
      </c>
    </row>
    <row r="495" spans="28:29">
      <c r="AB495" s="1" t="s">
        <v>616</v>
      </c>
      <c r="AC495" s="1">
        <v>3635</v>
      </c>
    </row>
    <row r="496" spans="28:29">
      <c r="AB496" s="1" t="s">
        <v>617</v>
      </c>
      <c r="AC496" s="1">
        <v>3641</v>
      </c>
    </row>
    <row r="497" spans="28:29">
      <c r="AB497" s="1" t="s">
        <v>618</v>
      </c>
      <c r="AC497" s="1">
        <v>3647</v>
      </c>
    </row>
    <row r="498" spans="28:29">
      <c r="AB498" s="1" t="s">
        <v>619</v>
      </c>
      <c r="AC498" s="1">
        <v>3653</v>
      </c>
    </row>
    <row r="499" spans="28:29">
      <c r="AB499" s="1" t="s">
        <v>620</v>
      </c>
      <c r="AC499" s="1">
        <v>3659</v>
      </c>
    </row>
    <row r="500" spans="28:29">
      <c r="AB500" s="1" t="s">
        <v>621</v>
      </c>
      <c r="AC500" s="1">
        <v>3665</v>
      </c>
    </row>
    <row r="501" spans="28:29">
      <c r="AB501" s="1" t="s">
        <v>622</v>
      </c>
      <c r="AC501" s="1">
        <v>3671</v>
      </c>
    </row>
    <row r="502" spans="28:29">
      <c r="AB502" s="1" t="s">
        <v>623</v>
      </c>
      <c r="AC502" s="1">
        <v>3677</v>
      </c>
    </row>
    <row r="503" spans="28:29">
      <c r="AB503" s="1" t="s">
        <v>624</v>
      </c>
      <c r="AC503" s="1">
        <v>3683</v>
      </c>
    </row>
    <row r="504" spans="28:29">
      <c r="AB504" s="1" t="s">
        <v>625</v>
      </c>
      <c r="AC504" s="1">
        <v>3689</v>
      </c>
    </row>
    <row r="505" spans="28:29">
      <c r="AB505" s="1" t="s">
        <v>626</v>
      </c>
      <c r="AC505" s="1">
        <v>3695</v>
      </c>
    </row>
    <row r="506" spans="28:29">
      <c r="AB506" s="1" t="s">
        <v>627</v>
      </c>
      <c r="AC506" s="1">
        <v>3701</v>
      </c>
    </row>
    <row r="507" spans="28:29">
      <c r="AB507" s="1" t="s">
        <v>628</v>
      </c>
      <c r="AC507" s="1">
        <v>3707</v>
      </c>
    </row>
    <row r="508" spans="28:29">
      <c r="AB508" s="1" t="s">
        <v>629</v>
      </c>
      <c r="AC508" s="1">
        <v>3713</v>
      </c>
    </row>
    <row r="509" spans="28:29">
      <c r="AB509" s="1" t="s">
        <v>630</v>
      </c>
      <c r="AC509" s="1">
        <v>3719</v>
      </c>
    </row>
    <row r="510" spans="28:29">
      <c r="AB510" s="1" t="s">
        <v>631</v>
      </c>
      <c r="AC510" s="1">
        <v>3725</v>
      </c>
    </row>
    <row r="511" spans="28:29">
      <c r="AB511" s="1" t="s">
        <v>632</v>
      </c>
      <c r="AC511" s="1">
        <v>3731</v>
      </c>
    </row>
    <row r="512" spans="28:29">
      <c r="AB512" s="1" t="s">
        <v>633</v>
      </c>
      <c r="AC512" s="1">
        <v>3737</v>
      </c>
    </row>
    <row r="513" spans="28:29">
      <c r="AB513" s="1" t="s">
        <v>634</v>
      </c>
      <c r="AC513" s="1">
        <v>3743</v>
      </c>
    </row>
    <row r="514" spans="28:29">
      <c r="AB514" s="1" t="s">
        <v>635</v>
      </c>
      <c r="AC514" s="1">
        <v>3749</v>
      </c>
    </row>
    <row r="515" spans="28:29">
      <c r="AB515" s="1" t="s">
        <v>636</v>
      </c>
      <c r="AC515" s="1">
        <v>3755</v>
      </c>
    </row>
    <row r="516" spans="28:29">
      <c r="AB516" s="1" t="s">
        <v>637</v>
      </c>
      <c r="AC516" s="1">
        <v>3761</v>
      </c>
    </row>
    <row r="517" spans="28:29">
      <c r="AB517" s="1" t="s">
        <v>638</v>
      </c>
      <c r="AC517" s="1">
        <v>3767</v>
      </c>
    </row>
    <row r="518" spans="28:29">
      <c r="AB518" s="1" t="s">
        <v>639</v>
      </c>
      <c r="AC518" s="1">
        <v>3773</v>
      </c>
    </row>
    <row r="519" spans="28:29">
      <c r="AB519" s="1" t="s">
        <v>640</v>
      </c>
      <c r="AC519" s="1">
        <v>3779</v>
      </c>
    </row>
    <row r="520" spans="28:29">
      <c r="AB520" s="1" t="s">
        <v>641</v>
      </c>
      <c r="AC520" s="1">
        <v>3785</v>
      </c>
    </row>
    <row r="521" spans="28:29">
      <c r="AB521" s="1" t="s">
        <v>642</v>
      </c>
      <c r="AC521" s="1">
        <v>3791</v>
      </c>
    </row>
    <row r="522" spans="28:29">
      <c r="AB522" s="1" t="s">
        <v>643</v>
      </c>
      <c r="AC522" s="1">
        <v>3797</v>
      </c>
    </row>
    <row r="523" spans="28:29">
      <c r="AB523" s="1" t="s">
        <v>644</v>
      </c>
      <c r="AC523" s="1">
        <v>3803</v>
      </c>
    </row>
    <row r="524" spans="28:29">
      <c r="AB524" s="1" t="s">
        <v>645</v>
      </c>
      <c r="AC524" s="1">
        <v>3809</v>
      </c>
    </row>
    <row r="525" spans="28:29">
      <c r="AB525" s="1" t="s">
        <v>646</v>
      </c>
      <c r="AC525" s="1">
        <v>3815</v>
      </c>
    </row>
    <row r="526" spans="28:29">
      <c r="AB526" s="1" t="s">
        <v>647</v>
      </c>
      <c r="AC526" s="1">
        <v>3821</v>
      </c>
    </row>
    <row r="527" spans="28:29">
      <c r="AB527" s="1" t="s">
        <v>648</v>
      </c>
      <c r="AC527" s="1">
        <v>3827</v>
      </c>
    </row>
    <row r="528" spans="28:29">
      <c r="AB528" s="1" t="s">
        <v>649</v>
      </c>
      <c r="AC528" s="1">
        <v>3833</v>
      </c>
    </row>
    <row r="529" spans="28:29">
      <c r="AB529" s="1" t="s">
        <v>650</v>
      </c>
      <c r="AC529" s="1">
        <v>3839</v>
      </c>
    </row>
    <row r="530" spans="28:29">
      <c r="AB530" s="1" t="s">
        <v>651</v>
      </c>
      <c r="AC530" s="1">
        <v>3845</v>
      </c>
    </row>
    <row r="531" spans="28:29">
      <c r="AB531" s="1" t="s">
        <v>652</v>
      </c>
      <c r="AC531" s="1">
        <v>3851</v>
      </c>
    </row>
    <row r="532" spans="28:29">
      <c r="AB532" s="1" t="s">
        <v>653</v>
      </c>
      <c r="AC532" s="1">
        <v>3857</v>
      </c>
    </row>
    <row r="533" spans="28:29">
      <c r="AB533" s="1" t="s">
        <v>654</v>
      </c>
      <c r="AC533" s="1">
        <v>3863</v>
      </c>
    </row>
    <row r="534" spans="28:29">
      <c r="AB534" s="1" t="s">
        <v>655</v>
      </c>
      <c r="AC534" s="1">
        <v>3869</v>
      </c>
    </row>
    <row r="535" spans="28:29">
      <c r="AB535" s="1" t="s">
        <v>656</v>
      </c>
      <c r="AC535" s="1">
        <v>3875</v>
      </c>
    </row>
    <row r="536" spans="28:29">
      <c r="AB536" s="1" t="s">
        <v>657</v>
      </c>
      <c r="AC536" s="1">
        <v>3881</v>
      </c>
    </row>
    <row r="537" spans="28:29">
      <c r="AB537" s="1" t="s">
        <v>658</v>
      </c>
      <c r="AC537" s="1">
        <v>3887</v>
      </c>
    </row>
    <row r="538" spans="28:29">
      <c r="AB538" s="1" t="s">
        <v>659</v>
      </c>
      <c r="AC538" s="1">
        <v>3893</v>
      </c>
    </row>
    <row r="539" spans="28:29">
      <c r="AB539" s="1" t="s">
        <v>660</v>
      </c>
      <c r="AC539" s="1">
        <v>3899</v>
      </c>
    </row>
    <row r="540" spans="28:29">
      <c r="AB540" s="1" t="s">
        <v>661</v>
      </c>
      <c r="AC540" s="1">
        <v>3905</v>
      </c>
    </row>
    <row r="541" spans="28:29">
      <c r="AB541" s="1" t="s">
        <v>662</v>
      </c>
      <c r="AC541" s="1">
        <v>3911</v>
      </c>
    </row>
    <row r="542" spans="28:29">
      <c r="AB542" s="1" t="s">
        <v>663</v>
      </c>
      <c r="AC542" s="1">
        <v>3917</v>
      </c>
    </row>
    <row r="543" spans="28:29">
      <c r="AB543" s="1" t="s">
        <v>664</v>
      </c>
      <c r="AC543" s="1">
        <v>3923</v>
      </c>
    </row>
    <row r="544" spans="28:29">
      <c r="AB544" s="1" t="s">
        <v>665</v>
      </c>
      <c r="AC544" s="1">
        <v>3929</v>
      </c>
    </row>
    <row r="545" spans="28:29">
      <c r="AB545" s="1" t="s">
        <v>666</v>
      </c>
      <c r="AC545" s="1">
        <v>3935</v>
      </c>
    </row>
    <row r="546" spans="28:29">
      <c r="AB546" s="1" t="s">
        <v>667</v>
      </c>
      <c r="AC546" s="1">
        <v>3941</v>
      </c>
    </row>
    <row r="547" spans="28:29">
      <c r="AB547" s="1" t="s">
        <v>668</v>
      </c>
      <c r="AC547" s="1">
        <v>3947</v>
      </c>
    </row>
    <row r="548" spans="28:29">
      <c r="AB548" s="1" t="s">
        <v>669</v>
      </c>
      <c r="AC548" s="1">
        <v>3953</v>
      </c>
    </row>
    <row r="549" spans="28:29">
      <c r="AB549" s="1" t="s">
        <v>670</v>
      </c>
      <c r="AC549" s="1">
        <v>3959</v>
      </c>
    </row>
    <row r="550" spans="28:29">
      <c r="AB550" s="1" t="s">
        <v>671</v>
      </c>
      <c r="AC550" s="1">
        <v>3965</v>
      </c>
    </row>
    <row r="551" spans="28:29">
      <c r="AB551" s="1" t="s">
        <v>672</v>
      </c>
      <c r="AC551" s="1">
        <v>3971</v>
      </c>
    </row>
    <row r="552" spans="28:29">
      <c r="AB552" s="1" t="s">
        <v>673</v>
      </c>
      <c r="AC552" s="1">
        <v>3977</v>
      </c>
    </row>
    <row r="553" spans="28:29">
      <c r="AB553" s="1" t="s">
        <v>674</v>
      </c>
      <c r="AC553" s="1">
        <v>3983</v>
      </c>
    </row>
    <row r="554" spans="28:29">
      <c r="AB554" s="1" t="s">
        <v>675</v>
      </c>
      <c r="AC554" s="1">
        <v>3989</v>
      </c>
    </row>
    <row r="555" spans="28:29">
      <c r="AB555" s="1" t="s">
        <v>676</v>
      </c>
      <c r="AC555" s="1">
        <v>3995</v>
      </c>
    </row>
    <row r="556" spans="28:29">
      <c r="AB556" s="1" t="s">
        <v>677</v>
      </c>
      <c r="AC556" s="1">
        <v>4001</v>
      </c>
    </row>
    <row r="557" spans="28:29">
      <c r="AB557" s="1" t="s">
        <v>678</v>
      </c>
      <c r="AC557" s="1">
        <v>4007</v>
      </c>
    </row>
    <row r="558" spans="28:29">
      <c r="AB558" s="1" t="s">
        <v>679</v>
      </c>
      <c r="AC558" s="1">
        <v>4013</v>
      </c>
    </row>
    <row r="559" spans="28:29">
      <c r="AB559" s="1" t="s">
        <v>680</v>
      </c>
      <c r="AC559" s="1">
        <v>4019</v>
      </c>
    </row>
    <row r="560" spans="28:29">
      <c r="AB560" s="1" t="s">
        <v>681</v>
      </c>
      <c r="AC560" s="1">
        <v>4025</v>
      </c>
    </row>
    <row r="561" spans="28:29">
      <c r="AB561" s="1" t="s">
        <v>682</v>
      </c>
      <c r="AC561" s="1">
        <v>4031</v>
      </c>
    </row>
    <row r="562" spans="28:29">
      <c r="AB562" s="1" t="s">
        <v>683</v>
      </c>
      <c r="AC562" s="1">
        <v>4037</v>
      </c>
    </row>
    <row r="563" spans="28:29">
      <c r="AB563" s="1" t="s">
        <v>684</v>
      </c>
      <c r="AC563" s="1">
        <v>4043</v>
      </c>
    </row>
    <row r="564" spans="28:29">
      <c r="AB564" s="1" t="s">
        <v>685</v>
      </c>
      <c r="AC564" s="1">
        <v>4049</v>
      </c>
    </row>
    <row r="565" spans="28:29">
      <c r="AB565" s="1" t="s">
        <v>686</v>
      </c>
      <c r="AC565" s="1">
        <v>4055</v>
      </c>
    </row>
    <row r="566" spans="28:29">
      <c r="AB566" s="1" t="s">
        <v>687</v>
      </c>
      <c r="AC566" s="1">
        <v>4061</v>
      </c>
    </row>
    <row r="567" spans="28:29">
      <c r="AB567" s="1" t="s">
        <v>688</v>
      </c>
      <c r="AC567" s="1">
        <v>4067</v>
      </c>
    </row>
    <row r="568" spans="28:29">
      <c r="AB568" s="1" t="s">
        <v>689</v>
      </c>
      <c r="AC568" s="1">
        <v>4073</v>
      </c>
    </row>
    <row r="569" spans="28:29">
      <c r="AB569" s="1" t="s">
        <v>690</v>
      </c>
      <c r="AC569" s="1">
        <v>4079</v>
      </c>
    </row>
    <row r="570" spans="28:29">
      <c r="AB570" s="1" t="s">
        <v>691</v>
      </c>
      <c r="AC570" s="1">
        <v>4085</v>
      </c>
    </row>
    <row r="571" spans="28:29">
      <c r="AB571" s="1" t="s">
        <v>692</v>
      </c>
      <c r="AC571" s="1">
        <v>4091</v>
      </c>
    </row>
    <row r="572" spans="28:29">
      <c r="AB572" s="1" t="s">
        <v>693</v>
      </c>
      <c r="AC572" s="1">
        <v>4097</v>
      </c>
    </row>
    <row r="573" spans="28:29">
      <c r="AB573" s="1" t="s">
        <v>694</v>
      </c>
      <c r="AC573" s="1">
        <v>4103</v>
      </c>
    </row>
    <row r="574" spans="28:29">
      <c r="AB574" s="1" t="s">
        <v>695</v>
      </c>
      <c r="AC574" s="1">
        <v>4109</v>
      </c>
    </row>
    <row r="575" spans="28:29">
      <c r="AB575" s="1" t="s">
        <v>696</v>
      </c>
      <c r="AC575" s="1">
        <v>4115</v>
      </c>
    </row>
    <row r="576" spans="28:29">
      <c r="AB576" s="1" t="s">
        <v>697</v>
      </c>
      <c r="AC576" s="1">
        <v>4121</v>
      </c>
    </row>
    <row r="577" spans="28:29">
      <c r="AB577" s="1" t="s">
        <v>698</v>
      </c>
      <c r="AC577" s="1">
        <v>4127</v>
      </c>
    </row>
    <row r="578" spans="28:29">
      <c r="AB578" s="1" t="s">
        <v>699</v>
      </c>
      <c r="AC578" s="1">
        <v>4133</v>
      </c>
    </row>
    <row r="579" spans="28:29">
      <c r="AB579" s="1" t="s">
        <v>700</v>
      </c>
      <c r="AC579" s="1">
        <v>4139</v>
      </c>
    </row>
    <row r="580" spans="28:29">
      <c r="AB580" s="1" t="s">
        <v>701</v>
      </c>
      <c r="AC580" s="1">
        <v>4145</v>
      </c>
    </row>
    <row r="581" spans="28:29">
      <c r="AB581" s="1" t="s">
        <v>702</v>
      </c>
      <c r="AC581" s="1">
        <v>4151</v>
      </c>
    </row>
    <row r="582" spans="28:29">
      <c r="AB582" s="1" t="s">
        <v>703</v>
      </c>
      <c r="AC582" s="1">
        <v>4157</v>
      </c>
    </row>
    <row r="583" spans="28:29">
      <c r="AB583" s="1" t="s">
        <v>704</v>
      </c>
      <c r="AC583" s="1">
        <v>4163</v>
      </c>
    </row>
    <row r="584" spans="28:29">
      <c r="AB584" s="1" t="s">
        <v>705</v>
      </c>
      <c r="AC584" s="1">
        <v>4169</v>
      </c>
    </row>
    <row r="585" spans="28:29">
      <c r="AB585" s="1" t="s">
        <v>706</v>
      </c>
      <c r="AC585" s="1">
        <v>4175</v>
      </c>
    </row>
    <row r="586" spans="28:29">
      <c r="AB586" s="1" t="s">
        <v>707</v>
      </c>
      <c r="AC586" s="1">
        <v>4181</v>
      </c>
    </row>
    <row r="587" spans="28:29">
      <c r="AB587" s="1" t="s">
        <v>708</v>
      </c>
      <c r="AC587" s="1">
        <v>4187</v>
      </c>
    </row>
    <row r="588" spans="28:29">
      <c r="AB588" s="1" t="s">
        <v>709</v>
      </c>
      <c r="AC588" s="1">
        <v>4193</v>
      </c>
    </row>
    <row r="589" spans="28:29">
      <c r="AB589" s="1" t="s">
        <v>710</v>
      </c>
      <c r="AC589" s="1">
        <v>4199</v>
      </c>
    </row>
    <row r="590" spans="28:29">
      <c r="AB590" s="1" t="s">
        <v>711</v>
      </c>
      <c r="AC590" s="1">
        <v>4205</v>
      </c>
    </row>
    <row r="591" spans="28:29">
      <c r="AB591" s="1" t="s">
        <v>712</v>
      </c>
      <c r="AC591" s="1">
        <v>4211</v>
      </c>
    </row>
    <row r="592" spans="28:29">
      <c r="AB592" s="1" t="s">
        <v>713</v>
      </c>
      <c r="AC592" s="1">
        <v>4217</v>
      </c>
    </row>
    <row r="593" spans="28:29">
      <c r="AB593" s="1" t="s">
        <v>714</v>
      </c>
      <c r="AC593" s="1">
        <v>4223</v>
      </c>
    </row>
    <row r="594" spans="28:29">
      <c r="AB594" s="1" t="s">
        <v>715</v>
      </c>
      <c r="AC594" s="1">
        <v>4229</v>
      </c>
    </row>
    <row r="595" spans="28:29">
      <c r="AB595" s="1" t="s">
        <v>716</v>
      </c>
      <c r="AC595" s="1">
        <v>4235</v>
      </c>
    </row>
    <row r="596" spans="28:29">
      <c r="AB596" s="1" t="s">
        <v>717</v>
      </c>
      <c r="AC596" s="1">
        <v>4241</v>
      </c>
    </row>
    <row r="597" spans="28:29">
      <c r="AB597" s="1" t="s">
        <v>718</v>
      </c>
      <c r="AC597" s="1">
        <v>4247</v>
      </c>
    </row>
    <row r="598" spans="28:29">
      <c r="AB598" s="1" t="s">
        <v>719</v>
      </c>
      <c r="AC598" s="1">
        <v>4253</v>
      </c>
    </row>
    <row r="599" spans="28:29">
      <c r="AB599" s="1" t="s">
        <v>720</v>
      </c>
      <c r="AC599" s="1">
        <v>4259</v>
      </c>
    </row>
    <row r="600" spans="28:29">
      <c r="AB600" s="1" t="s">
        <v>721</v>
      </c>
      <c r="AC600" s="1">
        <v>4265</v>
      </c>
    </row>
    <row r="601" spans="28:29">
      <c r="AB601" s="1" t="s">
        <v>722</v>
      </c>
      <c r="AC601" s="1">
        <v>4271</v>
      </c>
    </row>
    <row r="602" spans="28:29">
      <c r="AB602" s="1" t="s">
        <v>723</v>
      </c>
      <c r="AC602" s="1">
        <v>4277</v>
      </c>
    </row>
    <row r="603" spans="28:29">
      <c r="AB603" s="1" t="s">
        <v>724</v>
      </c>
      <c r="AC603" s="1">
        <v>4283</v>
      </c>
    </row>
    <row r="604" spans="28:29">
      <c r="AB604" s="1" t="s">
        <v>725</v>
      </c>
      <c r="AC604" s="1">
        <v>4289</v>
      </c>
    </row>
    <row r="605" spans="28:29">
      <c r="AB605" s="1" t="s">
        <v>726</v>
      </c>
      <c r="AC605" s="1">
        <v>4295</v>
      </c>
    </row>
    <row r="606" spans="28:29">
      <c r="AB606" s="1" t="s">
        <v>727</v>
      </c>
      <c r="AC606" s="1">
        <v>4301</v>
      </c>
    </row>
    <row r="607" spans="28:29">
      <c r="AB607" s="1" t="s">
        <v>728</v>
      </c>
      <c r="AC607" s="1">
        <v>4307</v>
      </c>
    </row>
    <row r="608" spans="28:29">
      <c r="AB608" s="1" t="s">
        <v>729</v>
      </c>
      <c r="AC608" s="1">
        <v>4313</v>
      </c>
    </row>
    <row r="609" spans="28:29">
      <c r="AB609" s="1" t="s">
        <v>730</v>
      </c>
      <c r="AC609" s="1">
        <v>4319</v>
      </c>
    </row>
    <row r="610" spans="28:29">
      <c r="AB610" s="1" t="s">
        <v>731</v>
      </c>
      <c r="AC610" s="1">
        <v>4325</v>
      </c>
    </row>
    <row r="611" spans="28:29">
      <c r="AB611" s="1" t="s">
        <v>732</v>
      </c>
      <c r="AC611" s="1">
        <v>4331</v>
      </c>
    </row>
    <row r="612" spans="28:29">
      <c r="AB612" s="1" t="s">
        <v>733</v>
      </c>
      <c r="AC612" s="1">
        <v>4337</v>
      </c>
    </row>
    <row r="613" spans="28:29">
      <c r="AB613" s="1" t="s">
        <v>734</v>
      </c>
      <c r="AC613" s="1">
        <v>4343</v>
      </c>
    </row>
    <row r="614" spans="28:29">
      <c r="AB614" s="1" t="s">
        <v>735</v>
      </c>
      <c r="AC614" s="1">
        <v>4349</v>
      </c>
    </row>
    <row r="615" spans="28:29">
      <c r="AB615" s="1" t="s">
        <v>736</v>
      </c>
      <c r="AC615" s="1">
        <v>4355</v>
      </c>
    </row>
    <row r="616" spans="28:29">
      <c r="AB616" s="1" t="s">
        <v>737</v>
      </c>
      <c r="AC616" s="1">
        <v>4361</v>
      </c>
    </row>
    <row r="617" spans="28:29">
      <c r="AB617" s="1" t="s">
        <v>738</v>
      </c>
      <c r="AC617" s="1">
        <v>4367</v>
      </c>
    </row>
    <row r="618" spans="28:29">
      <c r="AB618" s="1" t="s">
        <v>739</v>
      </c>
      <c r="AC618" s="1">
        <v>4373</v>
      </c>
    </row>
    <row r="619" spans="28:29">
      <c r="AB619" s="1" t="s">
        <v>740</v>
      </c>
      <c r="AC619" s="1">
        <v>4379</v>
      </c>
    </row>
    <row r="620" spans="28:29">
      <c r="AB620" s="1" t="s">
        <v>741</v>
      </c>
      <c r="AC620" s="1">
        <v>4385</v>
      </c>
    </row>
    <row r="621" spans="28:29">
      <c r="AB621" s="1" t="s">
        <v>742</v>
      </c>
      <c r="AC621" s="1">
        <v>4391</v>
      </c>
    </row>
    <row r="622" spans="28:29">
      <c r="AB622" s="1" t="s">
        <v>743</v>
      </c>
      <c r="AC622" s="1">
        <v>4397</v>
      </c>
    </row>
    <row r="623" spans="28:29">
      <c r="AB623" s="1" t="s">
        <v>744</v>
      </c>
      <c r="AC623" s="1">
        <v>4403</v>
      </c>
    </row>
    <row r="624" spans="28:29">
      <c r="AB624" s="1" t="s">
        <v>745</v>
      </c>
      <c r="AC624" s="1">
        <v>4409</v>
      </c>
    </row>
    <row r="625" spans="28:29">
      <c r="AB625" s="1" t="s">
        <v>746</v>
      </c>
      <c r="AC625" s="1">
        <v>4415</v>
      </c>
    </row>
    <row r="626" spans="28:29">
      <c r="AB626" s="1" t="s">
        <v>747</v>
      </c>
      <c r="AC626" s="1">
        <v>4421</v>
      </c>
    </row>
    <row r="627" spans="28:29">
      <c r="AB627" s="1" t="s">
        <v>748</v>
      </c>
      <c r="AC627" s="1">
        <v>4427</v>
      </c>
    </row>
    <row r="628" spans="28:29">
      <c r="AB628" s="1" t="s">
        <v>749</v>
      </c>
      <c r="AC628" s="1">
        <v>4433</v>
      </c>
    </row>
    <row r="629" spans="28:29">
      <c r="AB629" s="1" t="s">
        <v>750</v>
      </c>
      <c r="AC629" s="1">
        <v>4439</v>
      </c>
    </row>
    <row r="630" spans="28:29">
      <c r="AB630" s="1" t="s">
        <v>751</v>
      </c>
      <c r="AC630" s="1">
        <v>4445</v>
      </c>
    </row>
    <row r="631" spans="28:29">
      <c r="AB631" s="1" t="s">
        <v>752</v>
      </c>
      <c r="AC631" s="1">
        <v>4451</v>
      </c>
    </row>
    <row r="632" spans="28:29">
      <c r="AB632" s="1" t="s">
        <v>753</v>
      </c>
      <c r="AC632" s="1">
        <v>4457</v>
      </c>
    </row>
    <row r="633" spans="28:29">
      <c r="AB633" s="1" t="s">
        <v>754</v>
      </c>
      <c r="AC633" s="1">
        <v>4463</v>
      </c>
    </row>
    <row r="634" spans="28:29">
      <c r="AB634" s="1" t="s">
        <v>755</v>
      </c>
      <c r="AC634" s="1">
        <v>4469</v>
      </c>
    </row>
    <row r="635" spans="28:29">
      <c r="AB635" s="1" t="s">
        <v>756</v>
      </c>
      <c r="AC635" s="1">
        <v>4475</v>
      </c>
    </row>
    <row r="636" spans="28:29">
      <c r="AB636" s="1" t="s">
        <v>757</v>
      </c>
      <c r="AC636" s="1">
        <v>4481</v>
      </c>
    </row>
    <row r="637" spans="28:29">
      <c r="AB637" s="1" t="s">
        <v>758</v>
      </c>
      <c r="AC637" s="1">
        <v>4487</v>
      </c>
    </row>
    <row r="638" spans="28:29">
      <c r="AB638" s="1" t="s">
        <v>759</v>
      </c>
      <c r="AC638" s="1">
        <v>4493</v>
      </c>
    </row>
    <row r="639" spans="28:29">
      <c r="AB639" s="1" t="s">
        <v>760</v>
      </c>
      <c r="AC639" s="1">
        <v>4499</v>
      </c>
    </row>
    <row r="640" spans="28:29">
      <c r="AB640" s="1" t="s">
        <v>761</v>
      </c>
      <c r="AC640" s="1">
        <v>4505</v>
      </c>
    </row>
    <row r="641" spans="28:29">
      <c r="AB641" s="1" t="s">
        <v>762</v>
      </c>
      <c r="AC641" s="1">
        <v>4511</v>
      </c>
    </row>
    <row r="642" spans="28:29">
      <c r="AB642" s="1" t="s">
        <v>763</v>
      </c>
      <c r="AC642" s="1">
        <v>4517</v>
      </c>
    </row>
    <row r="643" spans="28:29">
      <c r="AB643" s="1" t="s">
        <v>764</v>
      </c>
      <c r="AC643" s="1">
        <v>4523</v>
      </c>
    </row>
    <row r="644" spans="28:29">
      <c r="AB644" s="1" t="s">
        <v>765</v>
      </c>
      <c r="AC644" s="1">
        <v>4529</v>
      </c>
    </row>
    <row r="645" spans="28:29">
      <c r="AB645" s="1" t="s">
        <v>766</v>
      </c>
      <c r="AC645" s="1">
        <v>4535</v>
      </c>
    </row>
    <row r="646" spans="28:29">
      <c r="AB646" s="1" t="s">
        <v>767</v>
      </c>
      <c r="AC646" s="1">
        <v>4541</v>
      </c>
    </row>
    <row r="647" spans="28:29">
      <c r="AB647" s="1" t="s">
        <v>768</v>
      </c>
      <c r="AC647" s="1">
        <v>4547</v>
      </c>
    </row>
    <row r="648" spans="28:29">
      <c r="AB648" s="1" t="s">
        <v>769</v>
      </c>
      <c r="AC648" s="1">
        <v>4553</v>
      </c>
    </row>
    <row r="649" spans="28:29">
      <c r="AB649" s="1" t="s">
        <v>770</v>
      </c>
      <c r="AC649" s="1">
        <v>4559</v>
      </c>
    </row>
    <row r="650" spans="28:29">
      <c r="AB650" s="1" t="s">
        <v>771</v>
      </c>
      <c r="AC650" s="1">
        <v>4565</v>
      </c>
    </row>
    <row r="651" spans="28:29">
      <c r="AB651" s="1" t="s">
        <v>772</v>
      </c>
      <c r="AC651" s="1">
        <v>4571</v>
      </c>
    </row>
    <row r="652" spans="28:29">
      <c r="AB652" s="1" t="s">
        <v>773</v>
      </c>
      <c r="AC652" s="1">
        <v>4577</v>
      </c>
    </row>
    <row r="653" spans="28:29">
      <c r="AB653" s="1" t="s">
        <v>774</v>
      </c>
      <c r="AC653" s="1">
        <v>4583</v>
      </c>
    </row>
    <row r="654" spans="28:29">
      <c r="AB654" s="1" t="s">
        <v>775</v>
      </c>
      <c r="AC654" s="1">
        <v>4589</v>
      </c>
    </row>
    <row r="655" spans="28:29">
      <c r="AB655" s="1" t="s">
        <v>776</v>
      </c>
      <c r="AC655" s="1">
        <v>4595</v>
      </c>
    </row>
    <row r="656" spans="28:29">
      <c r="AB656" s="1" t="s">
        <v>777</v>
      </c>
      <c r="AC656" s="1">
        <v>4601</v>
      </c>
    </row>
    <row r="657" spans="28:29">
      <c r="AB657" s="1" t="s">
        <v>778</v>
      </c>
      <c r="AC657" s="1">
        <v>4607</v>
      </c>
    </row>
    <row r="658" spans="28:29">
      <c r="AB658" s="1" t="s">
        <v>779</v>
      </c>
      <c r="AC658" s="1">
        <v>4613</v>
      </c>
    </row>
    <row r="659" spans="28:29">
      <c r="AB659" s="1" t="s">
        <v>780</v>
      </c>
      <c r="AC659" s="1">
        <v>4619</v>
      </c>
    </row>
    <row r="660" spans="28:29">
      <c r="AB660" s="1" t="s">
        <v>781</v>
      </c>
      <c r="AC660" s="1">
        <v>4625</v>
      </c>
    </row>
    <row r="661" spans="28:29">
      <c r="AB661" s="1" t="s">
        <v>782</v>
      </c>
      <c r="AC661" s="1">
        <v>4631</v>
      </c>
    </row>
    <row r="662" spans="28:29">
      <c r="AB662" s="1" t="s">
        <v>783</v>
      </c>
      <c r="AC662" s="1">
        <v>4637</v>
      </c>
    </row>
    <row r="663" spans="28:29">
      <c r="AB663" s="1" t="s">
        <v>784</v>
      </c>
      <c r="AC663" s="1">
        <v>4643</v>
      </c>
    </row>
    <row r="664" spans="28:29">
      <c r="AB664" s="1" t="s">
        <v>785</v>
      </c>
      <c r="AC664" s="1">
        <v>4649</v>
      </c>
    </row>
    <row r="665" spans="28:29">
      <c r="AB665" s="1" t="s">
        <v>786</v>
      </c>
      <c r="AC665" s="1">
        <v>4655</v>
      </c>
    </row>
    <row r="666" spans="28:29">
      <c r="AB666" s="1" t="s">
        <v>787</v>
      </c>
      <c r="AC666" s="1">
        <v>4661</v>
      </c>
    </row>
    <row r="667" spans="28:29">
      <c r="AB667" s="1" t="s">
        <v>788</v>
      </c>
      <c r="AC667" s="1">
        <v>4667</v>
      </c>
    </row>
    <row r="668" spans="28:29">
      <c r="AB668" s="1" t="s">
        <v>789</v>
      </c>
      <c r="AC668" s="1">
        <v>4673</v>
      </c>
    </row>
    <row r="669" spans="28:29">
      <c r="AB669" s="1" t="s">
        <v>790</v>
      </c>
      <c r="AC669" s="1">
        <v>4679</v>
      </c>
    </row>
    <row r="670" spans="28:29">
      <c r="AB670" s="1" t="s">
        <v>791</v>
      </c>
      <c r="AC670" s="1">
        <v>4685</v>
      </c>
    </row>
    <row r="671" spans="28:29">
      <c r="AB671" s="1" t="s">
        <v>792</v>
      </c>
      <c r="AC671" s="1">
        <v>4691</v>
      </c>
    </row>
    <row r="672" spans="28:29">
      <c r="AB672" s="1" t="s">
        <v>793</v>
      </c>
      <c r="AC672" s="1">
        <v>4697</v>
      </c>
    </row>
    <row r="673" spans="28:29">
      <c r="AB673" s="1" t="s">
        <v>794</v>
      </c>
      <c r="AC673" s="1">
        <v>4703</v>
      </c>
    </row>
    <row r="674" spans="28:29">
      <c r="AB674" s="1" t="s">
        <v>795</v>
      </c>
      <c r="AC674" s="1">
        <v>4709</v>
      </c>
    </row>
    <row r="675" spans="28:29">
      <c r="AB675" s="1" t="s">
        <v>796</v>
      </c>
      <c r="AC675" s="1">
        <v>4715</v>
      </c>
    </row>
    <row r="676" spans="28:29">
      <c r="AB676" s="1" t="s">
        <v>797</v>
      </c>
      <c r="AC676" s="1">
        <v>4721</v>
      </c>
    </row>
    <row r="677" spans="28:29">
      <c r="AB677" s="1" t="s">
        <v>798</v>
      </c>
      <c r="AC677" s="1">
        <v>4727</v>
      </c>
    </row>
    <row r="678" spans="28:29">
      <c r="AB678" s="1" t="s">
        <v>799</v>
      </c>
      <c r="AC678" s="1">
        <v>4733</v>
      </c>
    </row>
    <row r="679" spans="28:29">
      <c r="AB679" s="1" t="s">
        <v>800</v>
      </c>
      <c r="AC679" s="1">
        <v>4739</v>
      </c>
    </row>
    <row r="680" spans="28:29">
      <c r="AB680" s="1" t="s">
        <v>801</v>
      </c>
      <c r="AC680" s="1">
        <v>4745</v>
      </c>
    </row>
    <row r="681" spans="28:29">
      <c r="AB681" s="1" t="s">
        <v>802</v>
      </c>
      <c r="AC681" s="1">
        <v>4751</v>
      </c>
    </row>
    <row r="682" spans="28:29">
      <c r="AB682" s="1" t="s">
        <v>803</v>
      </c>
      <c r="AC682" s="1">
        <v>4757</v>
      </c>
    </row>
    <row r="683" spans="28:29">
      <c r="AB683" s="1" t="s">
        <v>804</v>
      </c>
      <c r="AC683" s="1">
        <v>4763</v>
      </c>
    </row>
    <row r="684" spans="28:29">
      <c r="AB684" s="1" t="s">
        <v>805</v>
      </c>
      <c r="AC684" s="1">
        <v>4769</v>
      </c>
    </row>
    <row r="685" spans="28:29">
      <c r="AB685" s="1" t="s">
        <v>806</v>
      </c>
      <c r="AC685" s="1">
        <v>4775</v>
      </c>
    </row>
    <row r="686" spans="28:29">
      <c r="AB686" s="1" t="s">
        <v>807</v>
      </c>
      <c r="AC686" s="1">
        <v>4781</v>
      </c>
    </row>
    <row r="687" spans="28:29">
      <c r="AB687" s="1" t="s">
        <v>808</v>
      </c>
      <c r="AC687" s="1">
        <v>4787</v>
      </c>
    </row>
    <row r="688" spans="28:29">
      <c r="AB688" s="1" t="s">
        <v>809</v>
      </c>
      <c r="AC688" s="1">
        <v>4793</v>
      </c>
    </row>
    <row r="689" spans="28:29">
      <c r="AB689" s="1" t="s">
        <v>810</v>
      </c>
      <c r="AC689" s="1">
        <v>4799</v>
      </c>
    </row>
    <row r="690" spans="28:29">
      <c r="AB690" s="1" t="s">
        <v>811</v>
      </c>
      <c r="AC690" s="1">
        <v>4805</v>
      </c>
    </row>
    <row r="691" spans="28:29">
      <c r="AB691" s="1" t="s">
        <v>812</v>
      </c>
      <c r="AC691" s="1">
        <v>4811</v>
      </c>
    </row>
    <row r="692" spans="28:29">
      <c r="AB692" s="1" t="s">
        <v>813</v>
      </c>
      <c r="AC692" s="1">
        <v>4817</v>
      </c>
    </row>
    <row r="693" spans="28:29">
      <c r="AB693" s="1" t="s">
        <v>814</v>
      </c>
      <c r="AC693" s="1">
        <v>4823</v>
      </c>
    </row>
    <row r="694" spans="28:29">
      <c r="AB694" s="1" t="s">
        <v>815</v>
      </c>
      <c r="AC694" s="1">
        <v>4829</v>
      </c>
    </row>
    <row r="695" spans="28:29">
      <c r="AB695" s="1" t="s">
        <v>816</v>
      </c>
      <c r="AC695" s="1">
        <v>4835</v>
      </c>
    </row>
    <row r="696" spans="28:29">
      <c r="AB696" s="1" t="s">
        <v>817</v>
      </c>
      <c r="AC696" s="1">
        <v>4841</v>
      </c>
    </row>
    <row r="697" spans="28:29">
      <c r="AB697" s="1" t="s">
        <v>818</v>
      </c>
      <c r="AC697" s="1">
        <v>4847</v>
      </c>
    </row>
    <row r="698" spans="28:29">
      <c r="AB698" s="1" t="s">
        <v>819</v>
      </c>
      <c r="AC698" s="1">
        <v>4853</v>
      </c>
    </row>
    <row r="699" spans="28:29">
      <c r="AB699" s="1" t="s">
        <v>820</v>
      </c>
      <c r="AC699" s="1">
        <v>4859</v>
      </c>
    </row>
    <row r="700" spans="28:29">
      <c r="AB700" s="1" t="s">
        <v>821</v>
      </c>
      <c r="AC700" s="1">
        <v>4865</v>
      </c>
    </row>
    <row r="701" spans="28:29">
      <c r="AB701" s="1" t="s">
        <v>822</v>
      </c>
      <c r="AC701" s="1">
        <v>4871</v>
      </c>
    </row>
    <row r="702" spans="28:29">
      <c r="AB702" s="1" t="s">
        <v>823</v>
      </c>
      <c r="AC702" s="1">
        <v>4877</v>
      </c>
    </row>
    <row r="703" spans="28:29">
      <c r="AB703" s="1" t="s">
        <v>824</v>
      </c>
      <c r="AC703" s="1">
        <v>4883</v>
      </c>
    </row>
    <row r="704" spans="28:29">
      <c r="AB704" s="1" t="s">
        <v>825</v>
      </c>
      <c r="AC704" s="1">
        <v>4889</v>
      </c>
    </row>
    <row r="705" spans="28:29">
      <c r="AB705" s="1" t="s">
        <v>826</v>
      </c>
      <c r="AC705" s="1">
        <v>4895</v>
      </c>
    </row>
    <row r="706" spans="28:29">
      <c r="AB706" s="1" t="s">
        <v>827</v>
      </c>
      <c r="AC706" s="1">
        <v>4901</v>
      </c>
    </row>
    <row r="707" spans="28:29">
      <c r="AB707" s="1" t="s">
        <v>828</v>
      </c>
      <c r="AC707" s="1">
        <v>4907</v>
      </c>
    </row>
    <row r="708" spans="28:29">
      <c r="AB708" s="1" t="s">
        <v>829</v>
      </c>
      <c r="AC708" s="1">
        <v>4913</v>
      </c>
    </row>
    <row r="709" spans="28:29">
      <c r="AB709" s="1" t="s">
        <v>830</v>
      </c>
      <c r="AC709" s="1">
        <v>4919</v>
      </c>
    </row>
    <row r="710" spans="28:29">
      <c r="AB710" s="1" t="s">
        <v>831</v>
      </c>
      <c r="AC710" s="1">
        <v>4925</v>
      </c>
    </row>
    <row r="711" spans="28:29">
      <c r="AB711" s="1" t="s">
        <v>832</v>
      </c>
      <c r="AC711" s="1">
        <v>4931</v>
      </c>
    </row>
    <row r="712" spans="28:29">
      <c r="AB712" s="1" t="s">
        <v>833</v>
      </c>
      <c r="AC712" s="1">
        <v>4937</v>
      </c>
    </row>
    <row r="713" spans="28:29">
      <c r="AB713" s="1" t="s">
        <v>834</v>
      </c>
      <c r="AC713" s="1">
        <v>4943</v>
      </c>
    </row>
    <row r="714" spans="28:29">
      <c r="AB714" s="1" t="s">
        <v>835</v>
      </c>
      <c r="AC714" s="1">
        <v>4949</v>
      </c>
    </row>
    <row r="715" spans="28:29">
      <c r="AB715" s="1" t="s">
        <v>836</v>
      </c>
      <c r="AC715" s="1">
        <v>4955</v>
      </c>
    </row>
    <row r="716" spans="28:29">
      <c r="AB716" s="1" t="s">
        <v>837</v>
      </c>
      <c r="AC716" s="1">
        <v>4961</v>
      </c>
    </row>
    <row r="717" spans="28:29">
      <c r="AB717" s="1" t="s">
        <v>838</v>
      </c>
      <c r="AC717" s="1">
        <v>4967</v>
      </c>
    </row>
    <row r="718" spans="28:29">
      <c r="AB718" s="1" t="s">
        <v>839</v>
      </c>
      <c r="AC718" s="1">
        <v>4973</v>
      </c>
    </row>
    <row r="719" spans="28:29">
      <c r="AB719" s="1" t="s">
        <v>840</v>
      </c>
      <c r="AC719" s="1">
        <v>4979</v>
      </c>
    </row>
    <row r="720" spans="28:29">
      <c r="AB720" s="1" t="s">
        <v>841</v>
      </c>
      <c r="AC720" s="1">
        <v>4985</v>
      </c>
    </row>
    <row r="721" spans="28:29">
      <c r="AB721" s="1" t="s">
        <v>842</v>
      </c>
      <c r="AC721" s="1">
        <v>4991</v>
      </c>
    </row>
    <row r="722" spans="28:29">
      <c r="AB722" s="1" t="s">
        <v>843</v>
      </c>
      <c r="AC722" s="1">
        <v>4997</v>
      </c>
    </row>
    <row r="723" spans="28:29">
      <c r="AB723" s="1" t="s">
        <v>844</v>
      </c>
      <c r="AC723" s="1">
        <v>5003</v>
      </c>
    </row>
    <row r="724" spans="28:29">
      <c r="AB724" s="1" t="s">
        <v>845</v>
      </c>
      <c r="AC724" s="1">
        <v>5009</v>
      </c>
    </row>
    <row r="725" spans="28:29">
      <c r="AB725" s="1" t="s">
        <v>846</v>
      </c>
      <c r="AC725" s="1">
        <v>5015</v>
      </c>
    </row>
    <row r="726" spans="28:29">
      <c r="AB726" s="1" t="s">
        <v>847</v>
      </c>
      <c r="AC726" s="1">
        <v>5021</v>
      </c>
    </row>
    <row r="727" spans="28:29">
      <c r="AB727" s="1" t="s">
        <v>848</v>
      </c>
      <c r="AC727" s="1">
        <v>5027</v>
      </c>
    </row>
    <row r="728" spans="28:29">
      <c r="AB728" s="1" t="s">
        <v>849</v>
      </c>
      <c r="AC728" s="1">
        <v>5033</v>
      </c>
    </row>
    <row r="729" spans="28:29">
      <c r="AB729" s="1" t="s">
        <v>850</v>
      </c>
      <c r="AC729" s="1">
        <v>5039</v>
      </c>
    </row>
    <row r="730" spans="28:29">
      <c r="AB730" s="1" t="s">
        <v>851</v>
      </c>
      <c r="AC730" s="1">
        <v>5045</v>
      </c>
    </row>
    <row r="731" spans="28:29">
      <c r="AB731" s="1" t="s">
        <v>852</v>
      </c>
      <c r="AC731" s="1">
        <v>5051</v>
      </c>
    </row>
    <row r="732" spans="28:29">
      <c r="AB732" s="1" t="s">
        <v>853</v>
      </c>
      <c r="AC732" s="1">
        <v>5057</v>
      </c>
    </row>
    <row r="733" spans="28:29">
      <c r="AB733" s="1" t="s">
        <v>854</v>
      </c>
      <c r="AC733" s="1">
        <v>5063</v>
      </c>
    </row>
    <row r="734" spans="28:29">
      <c r="AB734" s="1" t="s">
        <v>855</v>
      </c>
      <c r="AC734" s="1">
        <v>5069</v>
      </c>
    </row>
    <row r="735" spans="28:29">
      <c r="AB735" s="1" t="s">
        <v>856</v>
      </c>
      <c r="AC735" s="1">
        <v>5075</v>
      </c>
    </row>
    <row r="736" spans="28:29">
      <c r="AB736" s="1" t="s">
        <v>857</v>
      </c>
      <c r="AC736" s="1">
        <v>5081</v>
      </c>
    </row>
    <row r="737" spans="28:29">
      <c r="AB737" s="1" t="s">
        <v>858</v>
      </c>
      <c r="AC737" s="1">
        <v>5087</v>
      </c>
    </row>
    <row r="738" spans="28:29">
      <c r="AB738" s="1" t="s">
        <v>859</v>
      </c>
      <c r="AC738" s="1">
        <v>5093</v>
      </c>
    </row>
    <row r="739" spans="28:29">
      <c r="AB739" s="1" t="s">
        <v>860</v>
      </c>
      <c r="AC739" s="1">
        <v>5099</v>
      </c>
    </row>
    <row r="740" spans="28:29">
      <c r="AB740" s="1" t="s">
        <v>861</v>
      </c>
      <c r="AC740" s="1">
        <v>5105</v>
      </c>
    </row>
    <row r="741" spans="28:29">
      <c r="AB741" s="1" t="s">
        <v>862</v>
      </c>
      <c r="AC741" s="1">
        <v>5111</v>
      </c>
    </row>
    <row r="742" spans="28:29">
      <c r="AB742" s="1" t="s">
        <v>863</v>
      </c>
      <c r="AC742" s="1">
        <v>5117</v>
      </c>
    </row>
    <row r="743" spans="28:29">
      <c r="AB743" s="1" t="s">
        <v>864</v>
      </c>
      <c r="AC743" s="1">
        <v>5123</v>
      </c>
    </row>
    <row r="744" spans="28:29">
      <c r="AB744" s="1" t="s">
        <v>865</v>
      </c>
      <c r="AC744" s="1">
        <v>5129</v>
      </c>
    </row>
    <row r="745" spans="28:29">
      <c r="AB745" s="1" t="s">
        <v>866</v>
      </c>
      <c r="AC745" s="1">
        <v>5135</v>
      </c>
    </row>
    <row r="746" spans="28:29">
      <c r="AB746" s="1" t="s">
        <v>867</v>
      </c>
      <c r="AC746" s="1">
        <v>5141</v>
      </c>
    </row>
    <row r="747" spans="28:29">
      <c r="AB747" s="1" t="s">
        <v>868</v>
      </c>
      <c r="AC747" s="1">
        <v>5147</v>
      </c>
    </row>
    <row r="748" spans="28:29">
      <c r="AB748" s="1" t="s">
        <v>869</v>
      </c>
      <c r="AC748" s="1">
        <v>5153</v>
      </c>
    </row>
    <row r="749" spans="28:29">
      <c r="AB749" s="1" t="s">
        <v>870</v>
      </c>
      <c r="AC749" s="1">
        <v>5159</v>
      </c>
    </row>
    <row r="750" spans="28:29">
      <c r="AB750" s="1" t="s">
        <v>871</v>
      </c>
      <c r="AC750" s="1">
        <v>5165</v>
      </c>
    </row>
    <row r="751" spans="28:29">
      <c r="AB751" s="1" t="s">
        <v>872</v>
      </c>
      <c r="AC751" s="1">
        <v>5171</v>
      </c>
    </row>
    <row r="752" spans="28:29">
      <c r="AB752" s="1" t="s">
        <v>873</v>
      </c>
      <c r="AC752" s="1">
        <v>5177</v>
      </c>
    </row>
    <row r="753" spans="28:29">
      <c r="AB753" s="1" t="s">
        <v>874</v>
      </c>
      <c r="AC753" s="1">
        <v>5183</v>
      </c>
    </row>
    <row r="754" spans="28:29">
      <c r="AB754" s="1" t="s">
        <v>875</v>
      </c>
      <c r="AC754" s="1">
        <v>5189</v>
      </c>
    </row>
    <row r="755" spans="28:29">
      <c r="AB755" s="1" t="s">
        <v>876</v>
      </c>
      <c r="AC755" s="1">
        <v>5195</v>
      </c>
    </row>
    <row r="756" spans="28:29">
      <c r="AB756" s="1" t="s">
        <v>877</v>
      </c>
      <c r="AC756" s="1">
        <v>5201</v>
      </c>
    </row>
    <row r="757" spans="28:29">
      <c r="AB757" s="1" t="s">
        <v>878</v>
      </c>
      <c r="AC757" s="1">
        <v>5207</v>
      </c>
    </row>
    <row r="758" spans="28:29">
      <c r="AB758" s="1" t="s">
        <v>879</v>
      </c>
      <c r="AC758" s="1">
        <v>5213</v>
      </c>
    </row>
    <row r="759" spans="28:29">
      <c r="AB759" s="1" t="s">
        <v>880</v>
      </c>
      <c r="AC759" s="1">
        <v>5219</v>
      </c>
    </row>
    <row r="760" spans="28:29">
      <c r="AB760" s="1" t="s">
        <v>881</v>
      </c>
      <c r="AC760" s="1">
        <v>5225</v>
      </c>
    </row>
    <row r="761" spans="28:29">
      <c r="AB761" s="1" t="s">
        <v>882</v>
      </c>
      <c r="AC761" s="1">
        <v>5231</v>
      </c>
    </row>
    <row r="762" spans="28:29">
      <c r="AB762" s="1" t="s">
        <v>883</v>
      </c>
      <c r="AC762" s="1">
        <v>5237</v>
      </c>
    </row>
    <row r="763" spans="28:29">
      <c r="AB763" s="1" t="s">
        <v>884</v>
      </c>
      <c r="AC763" s="1">
        <v>5243</v>
      </c>
    </row>
    <row r="764" spans="28:29">
      <c r="AB764" s="1" t="s">
        <v>885</v>
      </c>
      <c r="AC764" s="1">
        <v>5249</v>
      </c>
    </row>
    <row r="765" spans="28:29">
      <c r="AB765" s="1" t="s">
        <v>886</v>
      </c>
      <c r="AC765" s="1">
        <v>5255</v>
      </c>
    </row>
    <row r="766" spans="28:29">
      <c r="AB766" s="1" t="s">
        <v>887</v>
      </c>
      <c r="AC766" s="1">
        <v>5261</v>
      </c>
    </row>
    <row r="767" spans="28:29">
      <c r="AB767" s="1" t="s">
        <v>888</v>
      </c>
      <c r="AC767" s="1">
        <v>5267</v>
      </c>
    </row>
    <row r="768" spans="28:29">
      <c r="AB768" s="1" t="s">
        <v>889</v>
      </c>
      <c r="AC768" s="1">
        <v>5273</v>
      </c>
    </row>
    <row r="769" spans="28:29">
      <c r="AB769" s="1" t="s">
        <v>890</v>
      </c>
      <c r="AC769" s="1">
        <v>5279</v>
      </c>
    </row>
    <row r="770" spans="28:29">
      <c r="AB770" s="1" t="s">
        <v>891</v>
      </c>
      <c r="AC770" s="1">
        <v>5285</v>
      </c>
    </row>
    <row r="771" spans="28:29">
      <c r="AB771" s="1" t="s">
        <v>892</v>
      </c>
      <c r="AC771" s="1">
        <v>5291</v>
      </c>
    </row>
    <row r="772" spans="28:29">
      <c r="AB772" s="1" t="s">
        <v>893</v>
      </c>
      <c r="AC772" s="1">
        <v>5297</v>
      </c>
    </row>
    <row r="773" spans="28:29">
      <c r="AB773" s="1" t="s">
        <v>894</v>
      </c>
      <c r="AC773" s="1">
        <v>5303</v>
      </c>
    </row>
    <row r="774" spans="28:29">
      <c r="AB774" s="1" t="s">
        <v>895</v>
      </c>
      <c r="AC774" s="1">
        <v>5309</v>
      </c>
    </row>
    <row r="775" spans="28:29">
      <c r="AB775" s="1" t="s">
        <v>896</v>
      </c>
      <c r="AC775" s="1">
        <v>5315</v>
      </c>
    </row>
    <row r="776" spans="28:29">
      <c r="AB776" s="1" t="s">
        <v>897</v>
      </c>
      <c r="AC776" s="1">
        <v>5321</v>
      </c>
    </row>
    <row r="777" spans="28:29">
      <c r="AB777" s="1" t="s">
        <v>898</v>
      </c>
      <c r="AC777" s="1">
        <v>5327</v>
      </c>
    </row>
    <row r="778" spans="28:29">
      <c r="AB778" s="1" t="s">
        <v>899</v>
      </c>
      <c r="AC778" s="1">
        <v>5333</v>
      </c>
    </row>
    <row r="779" spans="28:29">
      <c r="AB779" s="1" t="s">
        <v>900</v>
      </c>
      <c r="AC779" s="1">
        <v>5339</v>
      </c>
    </row>
    <row r="780" spans="28:29">
      <c r="AB780" s="1" t="s">
        <v>901</v>
      </c>
      <c r="AC780" s="1">
        <v>5345</v>
      </c>
    </row>
    <row r="781" spans="28:29">
      <c r="AB781" s="1" t="s">
        <v>902</v>
      </c>
      <c r="AC781" s="1">
        <v>5351</v>
      </c>
    </row>
    <row r="782" spans="28:29">
      <c r="AB782" s="1" t="s">
        <v>903</v>
      </c>
      <c r="AC782" s="1">
        <v>5357</v>
      </c>
    </row>
    <row r="783" spans="28:29">
      <c r="AB783" s="1" t="s">
        <v>904</v>
      </c>
      <c r="AC783" s="1">
        <v>5363</v>
      </c>
    </row>
    <row r="784" spans="28:29">
      <c r="AB784" s="1" t="s">
        <v>905</v>
      </c>
      <c r="AC784" s="1">
        <v>5369</v>
      </c>
    </row>
    <row r="785" spans="28:29">
      <c r="AB785" s="1" t="s">
        <v>906</v>
      </c>
      <c r="AC785" s="1">
        <v>5375</v>
      </c>
    </row>
    <row r="786" spans="28:29">
      <c r="AB786" s="1" t="s">
        <v>907</v>
      </c>
      <c r="AC786" s="1">
        <v>5381</v>
      </c>
    </row>
    <row r="787" spans="28:29">
      <c r="AB787" s="1" t="s">
        <v>908</v>
      </c>
      <c r="AC787" s="1">
        <v>5387</v>
      </c>
    </row>
    <row r="788" spans="28:29">
      <c r="AB788" s="1" t="s">
        <v>909</v>
      </c>
      <c r="AC788" s="1">
        <v>5393</v>
      </c>
    </row>
    <row r="789" spans="28:29">
      <c r="AB789" s="1" t="s">
        <v>910</v>
      </c>
      <c r="AC789" s="1">
        <v>5399</v>
      </c>
    </row>
    <row r="790" spans="28:29">
      <c r="AB790" s="1" t="s">
        <v>911</v>
      </c>
      <c r="AC790" s="1">
        <v>5405</v>
      </c>
    </row>
    <row r="791" spans="28:29">
      <c r="AB791" s="1" t="s">
        <v>912</v>
      </c>
      <c r="AC791" s="1">
        <v>5411</v>
      </c>
    </row>
    <row r="792" spans="28:29">
      <c r="AB792" s="1" t="s">
        <v>913</v>
      </c>
      <c r="AC792" s="1">
        <v>5417</v>
      </c>
    </row>
    <row r="793" spans="28:29">
      <c r="AB793" s="1" t="s">
        <v>914</v>
      </c>
      <c r="AC793" s="1">
        <v>5423</v>
      </c>
    </row>
    <row r="794" spans="28:29">
      <c r="AB794" s="1" t="s">
        <v>915</v>
      </c>
      <c r="AC794" s="1">
        <v>5429</v>
      </c>
    </row>
    <row r="795" spans="28:29">
      <c r="AB795" s="1" t="s">
        <v>916</v>
      </c>
      <c r="AC795" s="1">
        <v>5435</v>
      </c>
    </row>
    <row r="796" spans="28:29">
      <c r="AB796" s="1" t="s">
        <v>917</v>
      </c>
      <c r="AC796" s="1">
        <v>5441</v>
      </c>
    </row>
    <row r="797" spans="28:29">
      <c r="AB797" s="1" t="s">
        <v>918</v>
      </c>
      <c r="AC797" s="1">
        <v>5447</v>
      </c>
    </row>
    <row r="798" spans="28:29">
      <c r="AB798" s="1" t="s">
        <v>919</v>
      </c>
      <c r="AC798" s="1">
        <v>5453</v>
      </c>
    </row>
    <row r="799" spans="28:29">
      <c r="AB799" s="1" t="s">
        <v>920</v>
      </c>
      <c r="AC799" s="1">
        <v>5459</v>
      </c>
    </row>
    <row r="800" spans="28:29">
      <c r="AB800" s="1" t="s">
        <v>921</v>
      </c>
      <c r="AC800" s="1">
        <v>5465</v>
      </c>
    </row>
    <row r="801" spans="28:29">
      <c r="AB801" s="1" t="s">
        <v>922</v>
      </c>
      <c r="AC801" s="1">
        <v>5471</v>
      </c>
    </row>
    <row r="802" spans="28:29">
      <c r="AB802" s="1" t="s">
        <v>923</v>
      </c>
      <c r="AC802" s="1">
        <v>5477</v>
      </c>
    </row>
    <row r="803" spans="28:29">
      <c r="AB803" s="1" t="s">
        <v>924</v>
      </c>
      <c r="AC803" s="1">
        <v>5483</v>
      </c>
    </row>
    <row r="804" spans="28:29">
      <c r="AB804" s="1" t="s">
        <v>925</v>
      </c>
      <c r="AC804" s="1">
        <v>5489</v>
      </c>
    </row>
    <row r="805" spans="28:29">
      <c r="AB805" s="1" t="s">
        <v>926</v>
      </c>
      <c r="AC805" s="1">
        <v>5495</v>
      </c>
    </row>
    <row r="806" spans="28:29">
      <c r="AB806" s="1" t="s">
        <v>927</v>
      </c>
      <c r="AC806" s="1">
        <v>5501</v>
      </c>
    </row>
    <row r="807" spans="28:29">
      <c r="AB807" s="1" t="s">
        <v>928</v>
      </c>
      <c r="AC807" s="1">
        <v>5507</v>
      </c>
    </row>
    <row r="808" spans="28:29">
      <c r="AB808" s="1" t="s">
        <v>929</v>
      </c>
      <c r="AC808" s="1">
        <v>5513</v>
      </c>
    </row>
    <row r="809" spans="28:29">
      <c r="AB809" s="1" t="s">
        <v>930</v>
      </c>
      <c r="AC809" s="1">
        <v>5519</v>
      </c>
    </row>
    <row r="810" spans="28:29">
      <c r="AB810" s="1" t="s">
        <v>931</v>
      </c>
      <c r="AC810" s="1">
        <v>5525</v>
      </c>
    </row>
    <row r="811" spans="28:29">
      <c r="AB811" s="1" t="s">
        <v>932</v>
      </c>
      <c r="AC811" s="1">
        <v>5531</v>
      </c>
    </row>
    <row r="812" spans="28:29">
      <c r="AB812" s="1" t="s">
        <v>933</v>
      </c>
      <c r="AC812" s="1">
        <v>5537</v>
      </c>
    </row>
    <row r="813" spans="28:29">
      <c r="AB813" s="1" t="s">
        <v>934</v>
      </c>
      <c r="AC813" s="1">
        <v>5543</v>
      </c>
    </row>
    <row r="814" spans="28:29">
      <c r="AB814" s="1" t="s">
        <v>935</v>
      </c>
      <c r="AC814" s="1">
        <v>5549</v>
      </c>
    </row>
    <row r="815" spans="28:29">
      <c r="AB815" s="1" t="s">
        <v>936</v>
      </c>
      <c r="AC815" s="1">
        <v>5555</v>
      </c>
    </row>
    <row r="816" spans="28:29">
      <c r="AB816" s="1" t="s">
        <v>937</v>
      </c>
      <c r="AC816" s="1">
        <v>5561</v>
      </c>
    </row>
    <row r="817" spans="28:29">
      <c r="AB817" s="1" t="s">
        <v>938</v>
      </c>
      <c r="AC817" s="1">
        <v>5567</v>
      </c>
    </row>
    <row r="818" spans="28:29">
      <c r="AB818" s="1" t="s">
        <v>939</v>
      </c>
      <c r="AC818" s="1">
        <v>5573</v>
      </c>
    </row>
    <row r="819" spans="28:29">
      <c r="AB819" s="1" t="s">
        <v>940</v>
      </c>
      <c r="AC819" s="1">
        <v>5579</v>
      </c>
    </row>
    <row r="820" spans="28:29">
      <c r="AB820" s="1" t="s">
        <v>941</v>
      </c>
      <c r="AC820" s="1">
        <v>5585</v>
      </c>
    </row>
    <row r="821" spans="28:29">
      <c r="AB821" s="1" t="s">
        <v>942</v>
      </c>
      <c r="AC821" s="1">
        <v>5591</v>
      </c>
    </row>
    <row r="822" spans="28:29">
      <c r="AB822" s="1" t="s">
        <v>943</v>
      </c>
      <c r="AC822" s="1">
        <v>5597</v>
      </c>
    </row>
    <row r="823" spans="28:29">
      <c r="AB823" s="1" t="s">
        <v>944</v>
      </c>
      <c r="AC823" s="1">
        <v>5603</v>
      </c>
    </row>
    <row r="824" spans="28:29">
      <c r="AB824" s="1" t="s">
        <v>945</v>
      </c>
      <c r="AC824" s="1">
        <v>5609</v>
      </c>
    </row>
    <row r="825" spans="28:29">
      <c r="AB825" s="1" t="s">
        <v>946</v>
      </c>
      <c r="AC825" s="1">
        <v>5615</v>
      </c>
    </row>
    <row r="826" spans="28:29">
      <c r="AB826" s="1" t="s">
        <v>947</v>
      </c>
      <c r="AC826" s="1">
        <v>5621</v>
      </c>
    </row>
    <row r="827" spans="28:29">
      <c r="AB827" s="1" t="s">
        <v>948</v>
      </c>
      <c r="AC827" s="1">
        <v>5627</v>
      </c>
    </row>
    <row r="828" spans="28:29">
      <c r="AB828" s="1" t="s">
        <v>949</v>
      </c>
      <c r="AC828" s="1">
        <v>5633</v>
      </c>
    </row>
    <row r="829" spans="28:29">
      <c r="AB829" s="1" t="s">
        <v>950</v>
      </c>
      <c r="AC829" s="1">
        <v>5639</v>
      </c>
    </row>
    <row r="830" spans="28:29">
      <c r="AB830" s="1" t="s">
        <v>951</v>
      </c>
      <c r="AC830" s="1">
        <v>5645</v>
      </c>
    </row>
    <row r="831" spans="28:29">
      <c r="AB831" s="1" t="s">
        <v>952</v>
      </c>
      <c r="AC831" s="1">
        <v>5651</v>
      </c>
    </row>
    <row r="832" spans="28:29">
      <c r="AB832" s="1" t="s">
        <v>953</v>
      </c>
      <c r="AC832" s="1">
        <v>5657</v>
      </c>
    </row>
    <row r="833" spans="28:29">
      <c r="AB833" s="1" t="s">
        <v>954</v>
      </c>
      <c r="AC833" s="1">
        <v>5663</v>
      </c>
    </row>
    <row r="834" spans="28:29">
      <c r="AB834" s="1" t="s">
        <v>955</v>
      </c>
      <c r="AC834" s="1">
        <v>5669</v>
      </c>
    </row>
    <row r="835" spans="28:29">
      <c r="AB835" s="1" t="s">
        <v>956</v>
      </c>
      <c r="AC835" s="1">
        <v>5675</v>
      </c>
    </row>
    <row r="836" spans="28:29">
      <c r="AB836" s="1" t="s">
        <v>957</v>
      </c>
      <c r="AC836" s="1">
        <v>5681</v>
      </c>
    </row>
    <row r="837" spans="28:29">
      <c r="AB837" s="1" t="s">
        <v>958</v>
      </c>
      <c r="AC837" s="1">
        <v>5687</v>
      </c>
    </row>
    <row r="838" spans="28:29">
      <c r="AB838" s="1" t="s">
        <v>959</v>
      </c>
      <c r="AC838" s="1">
        <v>5693</v>
      </c>
    </row>
    <row r="839" spans="28:29">
      <c r="AB839" s="1" t="s">
        <v>960</v>
      </c>
      <c r="AC839" s="1">
        <v>5699</v>
      </c>
    </row>
    <row r="840" spans="28:29">
      <c r="AB840" s="1" t="s">
        <v>961</v>
      </c>
      <c r="AC840" s="1">
        <v>5705</v>
      </c>
    </row>
    <row r="841" spans="28:29">
      <c r="AB841" s="1" t="s">
        <v>962</v>
      </c>
      <c r="AC841" s="1">
        <v>5711</v>
      </c>
    </row>
    <row r="842" spans="28:29">
      <c r="AB842" s="1" t="s">
        <v>963</v>
      </c>
      <c r="AC842" s="1">
        <v>5717</v>
      </c>
    </row>
    <row r="843" spans="28:29">
      <c r="AB843" s="1" t="s">
        <v>964</v>
      </c>
      <c r="AC843" s="1">
        <v>5723</v>
      </c>
    </row>
    <row r="844" spans="28:29">
      <c r="AB844" s="1" t="s">
        <v>965</v>
      </c>
      <c r="AC844" s="1">
        <v>5729</v>
      </c>
    </row>
    <row r="845" spans="28:29">
      <c r="AB845" s="1" t="s">
        <v>966</v>
      </c>
      <c r="AC845" s="1">
        <v>5735</v>
      </c>
    </row>
    <row r="846" spans="28:29">
      <c r="AB846" s="1" t="s">
        <v>967</v>
      </c>
      <c r="AC846" s="1">
        <v>5741</v>
      </c>
    </row>
    <row r="847" spans="28:29">
      <c r="AB847" s="1" t="s">
        <v>968</v>
      </c>
      <c r="AC847" s="1">
        <v>5747</v>
      </c>
    </row>
    <row r="848" spans="28:29">
      <c r="AB848" s="1" t="s">
        <v>969</v>
      </c>
      <c r="AC848" s="1">
        <v>5753</v>
      </c>
    </row>
    <row r="849" spans="28:29">
      <c r="AB849" s="1" t="s">
        <v>970</v>
      </c>
      <c r="AC849" s="1">
        <v>5759</v>
      </c>
    </row>
    <row r="850" spans="28:29">
      <c r="AB850" s="1" t="s">
        <v>971</v>
      </c>
      <c r="AC850" s="1">
        <v>5765</v>
      </c>
    </row>
  </sheetData>
  <mergeCells count="1">
    <mergeCell ref="D1:D27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41"/>
  <sheetViews>
    <sheetView tabSelected="1" zoomScale="110" zoomScaleNormal="110" workbookViewId="0">
      <pane xSplit="1" topLeftCell="B1" activePane="topRight" state="frozen"/>
      <selection pane="topRight" activeCell="AC6" sqref="AC6"/>
    </sheetView>
  </sheetViews>
  <sheetFormatPr baseColWidth="10" defaultColWidth="11" defaultRowHeight="16"/>
  <cols>
    <col min="1" max="1" width="31.83203125" style="3" bestFit="1" customWidth="1"/>
    <col min="2" max="2" width="11.6640625" style="3" bestFit="1" customWidth="1"/>
    <col min="3" max="3" width="21.6640625" style="3" bestFit="1" customWidth="1"/>
    <col min="4" max="4" width="12" style="233" bestFit="1" customWidth="1"/>
    <col min="5" max="5" width="11.83203125" style="303" hidden="1" customWidth="1"/>
    <col min="6" max="6" width="11.83203125" style="3" hidden="1" customWidth="1"/>
    <col min="7" max="7" width="18" style="3" bestFit="1" customWidth="1"/>
    <col min="8" max="9" width="17.6640625" style="3" hidden="1" customWidth="1"/>
    <col min="10" max="10" width="11.83203125" style="3" bestFit="1" customWidth="1"/>
    <col min="11" max="12" width="11.83203125" style="3" hidden="1" customWidth="1"/>
    <col min="13" max="13" width="11.83203125" style="304" bestFit="1" customWidth="1"/>
    <col min="14" max="15" width="0" style="304" hidden="1" customWidth="1"/>
    <col min="16" max="16" width="11.83203125" style="3" bestFit="1" customWidth="1"/>
    <col min="17" max="17" width="11.83203125" style="3" hidden="1" customWidth="1"/>
    <col min="18" max="18" width="12.33203125" style="3" hidden="1" customWidth="1"/>
    <col min="19" max="19" width="11.83203125" style="3" bestFit="1" customWidth="1"/>
    <col min="20" max="20" width="11" style="3"/>
    <col min="21" max="21" width="11.83203125" style="3" bestFit="1" customWidth="1"/>
    <col min="22" max="23" width="11.83203125" style="3" hidden="1" customWidth="1"/>
    <col min="24" max="25" width="11" style="3"/>
    <col min="26" max="26" width="12" style="3" bestFit="1" customWidth="1"/>
    <col min="27" max="16384" width="11" style="3"/>
  </cols>
  <sheetData>
    <row r="1" spans="1:26" ht="195" customHeight="1">
      <c r="A1" s="18" t="s">
        <v>81</v>
      </c>
      <c r="B1" s="314" t="s">
        <v>1384</v>
      </c>
      <c r="C1" s="18" t="s">
        <v>82</v>
      </c>
      <c r="D1" s="323" t="s">
        <v>1309</v>
      </c>
      <c r="E1" s="19" t="s">
        <v>1359</v>
      </c>
      <c r="F1" s="294" t="s">
        <v>1361</v>
      </c>
      <c r="G1" s="296" t="s">
        <v>1360</v>
      </c>
      <c r="H1" s="19" t="s">
        <v>1362</v>
      </c>
      <c r="I1" s="294" t="s">
        <v>1363</v>
      </c>
      <c r="J1" s="295" t="s">
        <v>1364</v>
      </c>
      <c r="K1" s="19" t="s">
        <v>1368</v>
      </c>
      <c r="L1" s="294" t="s">
        <v>1369</v>
      </c>
      <c r="M1" s="295" t="s">
        <v>1370</v>
      </c>
      <c r="N1" s="297" t="s">
        <v>1371</v>
      </c>
      <c r="O1" s="298" t="s">
        <v>1372</v>
      </c>
      <c r="P1" s="299" t="s">
        <v>1373</v>
      </c>
      <c r="Q1" s="19" t="s">
        <v>1365</v>
      </c>
      <c r="R1" s="294" t="s">
        <v>1366</v>
      </c>
      <c r="S1" s="296" t="s">
        <v>1367</v>
      </c>
      <c r="T1" s="18" t="s">
        <v>1313</v>
      </c>
      <c r="U1" s="279" t="s">
        <v>1383</v>
      </c>
      <c r="V1" s="19" t="s">
        <v>1380</v>
      </c>
      <c r="W1" s="294" t="s">
        <v>1381</v>
      </c>
      <c r="X1" s="296" t="s">
        <v>1382</v>
      </c>
    </row>
    <row r="2" spans="1:26" ht="16" customHeight="1">
      <c r="A2" s="291" t="s">
        <v>102</v>
      </c>
      <c r="B2" s="314">
        <v>907247263</v>
      </c>
      <c r="C2" s="302" t="s">
        <v>103</v>
      </c>
      <c r="D2" s="308">
        <f>'[1]АМУ-1'!F43/1.07</f>
        <v>535.30473743529899</v>
      </c>
      <c r="E2" s="309">
        <v>2620.3757607158068</v>
      </c>
      <c r="F2" s="310">
        <v>2859.3716399642781</v>
      </c>
      <c r="G2" s="311">
        <v>3150.6549033173246</v>
      </c>
      <c r="H2" s="312">
        <f>('Общая комиссия'!G2+'Общая комиссия'!J2+'Общая комиссия'!K2+'Общая комиссия'!L2+'Общая комиссия'!M2+'Общая комиссия'!N2+'Общая комиссия'!Q2)*1.22</f>
        <v>1925.6712926329776</v>
      </c>
      <c r="I2" s="310">
        <f>('Общая комиссия'!H2+'Общая комиссия'!J2+'Общая комиссия'!K2+'Общая комиссия'!L2+'Общая комиссия'!M2+'Общая комиссия'!O2+'Общая комиссия'!Q2)*1.22</f>
        <v>2164.8012806135571</v>
      </c>
      <c r="J2" s="311">
        <f>('Общая комиссия'!I2+'Общая комиссия'!J2+'Общая комиссия'!K2+'Общая комиссия'!L2+'Общая комиссия'!M2+'Общая комиссия'!P2+'Общая комиссия'!Q2)*1.22</f>
        <v>2618.5981363814726</v>
      </c>
      <c r="K2" s="312">
        <f>E2-H2</f>
        <v>694.70446808282918</v>
      </c>
      <c r="L2" s="310">
        <f>F2-I2</f>
        <v>694.57035935072099</v>
      </c>
      <c r="M2" s="311">
        <f>G2-J2</f>
        <v>532.05676693585201</v>
      </c>
      <c r="N2" s="297">
        <f t="shared" ref="N2:N35" si="0">K2/D2-1</f>
        <v>0.29777380901060391</v>
      </c>
      <c r="O2" s="298">
        <f>L2/D2-1</f>
        <v>0.29752328118462068</v>
      </c>
      <c r="P2" s="299">
        <f>M2/D2-1</f>
        <v>-6.0675168223026654E-3</v>
      </c>
      <c r="Q2" s="312">
        <f t="shared" ref="Q2:Q35" si="1">D2*($T$2/100+1)+H2</f>
        <v>2621.5674512988662</v>
      </c>
      <c r="R2" s="310">
        <f t="shared" ref="R2:R35" si="2">D2*($T$2/100+1)+I2</f>
        <v>2860.6974392794459</v>
      </c>
      <c r="S2" s="311">
        <f t="shared" ref="S2:S41" si="3">D2*($T$2/100+1)+J2</f>
        <v>3314.4942950473614</v>
      </c>
      <c r="T2" s="339">
        <v>30</v>
      </c>
      <c r="U2" s="306">
        <v>3919</v>
      </c>
      <c r="V2" s="312">
        <f t="shared" ref="V2:V35" si="4">U2-E2</f>
        <v>1298.6242392841932</v>
      </c>
      <c r="W2" s="310">
        <f t="shared" ref="W2:W35" si="5">U2-F2</f>
        <v>1059.6283600357219</v>
      </c>
      <c r="X2" s="311">
        <f t="shared" ref="X2:X35" si="6">U2-G2</f>
        <v>768.34509668267538</v>
      </c>
      <c r="Z2" s="362"/>
    </row>
    <row r="3" spans="1:26" ht="16" customHeight="1">
      <c r="A3" s="291" t="s">
        <v>98</v>
      </c>
      <c r="B3" s="314">
        <v>629880865</v>
      </c>
      <c r="C3" s="302" t="s">
        <v>96</v>
      </c>
      <c r="D3" s="308">
        <f>'[1]К-148'!F46/1.07</f>
        <v>1529.4786268090213</v>
      </c>
      <c r="E3" s="309">
        <v>5069.8173922505985</v>
      </c>
      <c r="F3" s="310">
        <v>5175.9580294741036</v>
      </c>
      <c r="G3" s="311">
        <v>5021.8939090171971</v>
      </c>
      <c r="H3" s="312">
        <f>('Общая комиссия'!G3+'Общая комиссия'!J3+'Общая комиссия'!K3+'Общая комиссия'!L3+'Общая комиссия'!M3+'Общая комиссия'!N3+'Общая комиссия'!Q3)*1.22</f>
        <v>3082.9639761601211</v>
      </c>
      <c r="I3" s="310">
        <f>('Общая комиссия'!H3+'Общая комиссия'!J3+'Общая комиссия'!K3+'Общая комиссия'!L3+'Общая комиссия'!M3+'Общая комиссия'!O3+'Общая комиссия'!Q3)*1.22</f>
        <v>3189.1533544475719</v>
      </c>
      <c r="J3" s="311">
        <f>('Общая комиссия'!I3+'Общая комиссия'!J3+'Общая комиссия'!K3+'Общая комиссия'!L3+'Общая комиссия'!M3+'Общая комиссия'!P3+'Общая комиссия'!Q3)*1.22</f>
        <v>3300.5423168558787</v>
      </c>
      <c r="K3" s="312">
        <f t="shared" ref="K3:K35" si="7">E3-H3</f>
        <v>1986.8534160904774</v>
      </c>
      <c r="L3" s="310">
        <f t="shared" ref="L3:L35" si="8">F3-I3</f>
        <v>1986.8046750265316</v>
      </c>
      <c r="M3" s="311">
        <f t="shared" ref="M3:M41" si="9">G3-J3</f>
        <v>1721.3515921613184</v>
      </c>
      <c r="N3" s="297">
        <f t="shared" si="0"/>
        <v>0.29903967356228134</v>
      </c>
      <c r="O3" s="298">
        <f t="shared" ref="O3:O35" si="10">L3/D3-1</f>
        <v>0.29900780579826591</v>
      </c>
      <c r="P3" s="299">
        <f t="shared" ref="P3:P41" si="11">M3/D3-1</f>
        <v>0.12544991606231548</v>
      </c>
      <c r="Q3" s="312">
        <f t="shared" si="1"/>
        <v>5071.286191011849</v>
      </c>
      <c r="R3" s="310">
        <f t="shared" si="2"/>
        <v>5177.4755692992994</v>
      </c>
      <c r="S3" s="311">
        <f t="shared" si="3"/>
        <v>5288.8645317076061</v>
      </c>
      <c r="T3" s="339"/>
      <c r="U3" s="306">
        <v>5853.1887885020642</v>
      </c>
      <c r="V3" s="312">
        <f t="shared" si="4"/>
        <v>783.37139625146574</v>
      </c>
      <c r="W3" s="310">
        <f t="shared" si="5"/>
        <v>677.23075902796063</v>
      </c>
      <c r="X3" s="311">
        <f t="shared" si="6"/>
        <v>831.29487948486712</v>
      </c>
      <c r="Z3" s="362"/>
    </row>
    <row r="4" spans="1:26" ht="16" customHeight="1">
      <c r="A4" s="291" t="s">
        <v>93</v>
      </c>
      <c r="B4" s="314">
        <v>633898130</v>
      </c>
      <c r="C4" s="302" t="s">
        <v>94</v>
      </c>
      <c r="D4" s="308">
        <f>'[1]К-20'!F41/1.07</f>
        <v>302.76908305337571</v>
      </c>
      <c r="E4" s="309">
        <v>1330.7172937937194</v>
      </c>
      <c r="F4" s="310">
        <v>1422.1161758472931</v>
      </c>
      <c r="G4" s="311">
        <v>1473.6112211954605</v>
      </c>
      <c r="H4" s="312">
        <f>('Общая комиссия'!G4+'Общая комиссия'!J4+'Общая комиссия'!K4+'Общая комиссия'!L4+'Общая комиссия'!M4+'Общая комиссия'!N4+'Общая комиссия'!Q4)*1.22</f>
        <v>937.58904330846849</v>
      </c>
      <c r="I4" s="310">
        <f>('Общая комиссия'!H4+'Общая комиссия'!J4+'Общая комиссия'!K4+'Общая комиссия'!L4+'Общая комиссия'!M4+'Общая комиссия'!O4+'Общая комиссия'!Q4)*1.22</f>
        <v>1029.0298968337731</v>
      </c>
      <c r="J4" s="311">
        <f>('Общая комиссия'!I4+'Общая комиссия'!J4+'Общая комиссия'!K4+'Общая комиссия'!L4+'Общая комиссия'!M4+'Общая комиссия'!P4+'Общая комиссия'!Q4)*1.22</f>
        <v>1158.4631976234218</v>
      </c>
      <c r="K4" s="312">
        <f t="shared" si="7"/>
        <v>393.12825048525087</v>
      </c>
      <c r="L4" s="310">
        <f t="shared" si="8"/>
        <v>393.08627901351997</v>
      </c>
      <c r="M4" s="311">
        <f t="shared" si="9"/>
        <v>315.14802357203871</v>
      </c>
      <c r="N4" s="297">
        <f t="shared" si="0"/>
        <v>0.29844251771223806</v>
      </c>
      <c r="O4" s="298">
        <f t="shared" si="10"/>
        <v>0.29830389235687615</v>
      </c>
      <c r="P4" s="299">
        <f t="shared" si="11"/>
        <v>4.0885748286527246E-2</v>
      </c>
      <c r="Q4" s="312">
        <f t="shared" si="1"/>
        <v>1331.1888512778569</v>
      </c>
      <c r="R4" s="310">
        <f t="shared" si="2"/>
        <v>1422.6297048031615</v>
      </c>
      <c r="S4" s="311">
        <f t="shared" si="3"/>
        <v>1552.0630055928102</v>
      </c>
      <c r="T4" s="339"/>
      <c r="U4" s="306">
        <v>1511.9205322221073</v>
      </c>
      <c r="V4" s="312">
        <f t="shared" si="4"/>
        <v>181.20323842838798</v>
      </c>
      <c r="W4" s="310">
        <f t="shared" si="5"/>
        <v>89.804356374814233</v>
      </c>
      <c r="X4" s="311">
        <f t="shared" si="6"/>
        <v>38.30931102664681</v>
      </c>
      <c r="Z4" s="362"/>
    </row>
    <row r="5" spans="1:26" ht="16" customHeight="1">
      <c r="A5" s="291" t="s">
        <v>95</v>
      </c>
      <c r="B5" s="314">
        <v>629825193</v>
      </c>
      <c r="C5" s="302" t="s">
        <v>96</v>
      </c>
      <c r="D5" s="308">
        <f>'[1]К-40'!F44/1.07</f>
        <v>716.99119757881624</v>
      </c>
      <c r="E5" s="309">
        <v>2790.7105990053051</v>
      </c>
      <c r="F5" s="310">
        <v>2896.8512362288106</v>
      </c>
      <c r="G5" s="311">
        <v>2970.6977950964342</v>
      </c>
      <c r="H5" s="312">
        <f>('Общая комиссия'!G5+'Общая комиссия'!J5+'Общая комиссия'!K5+'Общая комиссия'!L5+'Общая комиссия'!M5+'Общая комиссия'!N5+'Общая комиссия'!Q5)*1.22</f>
        <v>1859.5394495460475</v>
      </c>
      <c r="I5" s="310">
        <f>('Общая комиссия'!H5+'Общая комиссия'!J5+'Общая комиссия'!K5+'Общая комиссия'!L5+'Общая комиссия'!M5+'Общая комиссия'!O5+'Общая комиссия'!Q5)*1.22</f>
        <v>1965.7288278334988</v>
      </c>
      <c r="J5" s="311">
        <f>('Общая комиссия'!I5+'Общая комиссия'!J5+'Общая комиссия'!K5+'Общая комиссия'!L5+'Общая комиссия'!M5+'Общая комиссия'!P5+'Общая комиссия'!Q5)*1.22</f>
        <v>2196.6797326154542</v>
      </c>
      <c r="K5" s="312">
        <f t="shared" si="7"/>
        <v>931.17114945925755</v>
      </c>
      <c r="L5" s="310">
        <f t="shared" si="8"/>
        <v>931.12240839531182</v>
      </c>
      <c r="M5" s="311">
        <f t="shared" si="9"/>
        <v>774.01806248098001</v>
      </c>
      <c r="N5" s="297">
        <f t="shared" si="0"/>
        <v>0.29872047607236807</v>
      </c>
      <c r="O5" s="298">
        <f t="shared" si="10"/>
        <v>0.29865249606911237</v>
      </c>
      <c r="P5" s="299">
        <f t="shared" si="11"/>
        <v>7.9536352879555405E-2</v>
      </c>
      <c r="Q5" s="312">
        <f t="shared" si="1"/>
        <v>2791.6280063985087</v>
      </c>
      <c r="R5" s="310">
        <f t="shared" si="2"/>
        <v>2897.81738468596</v>
      </c>
      <c r="S5" s="311">
        <f t="shared" si="3"/>
        <v>3128.7682894679156</v>
      </c>
      <c r="T5" s="339"/>
      <c r="U5" s="306">
        <v>3514.0142735208865</v>
      </c>
      <c r="V5" s="312">
        <f t="shared" si="4"/>
        <v>723.30367451558141</v>
      </c>
      <c r="W5" s="310">
        <f t="shared" si="5"/>
        <v>617.16303729207584</v>
      </c>
      <c r="X5" s="311">
        <f t="shared" si="6"/>
        <v>543.31647842445227</v>
      </c>
      <c r="Z5" s="362"/>
    </row>
    <row r="6" spans="1:26" ht="16" customHeight="1">
      <c r="A6" s="291" t="s">
        <v>97</v>
      </c>
      <c r="B6" s="314">
        <v>629844259</v>
      </c>
      <c r="C6" s="302" t="s">
        <v>96</v>
      </c>
      <c r="D6" s="308">
        <f>'[1]К-60'!F44/1.07</f>
        <v>850.19860109716637</v>
      </c>
      <c r="E6" s="309">
        <v>3196.596635780907</v>
      </c>
      <c r="F6" s="310">
        <v>3287.9955178344803</v>
      </c>
      <c r="G6" s="311">
        <v>3346.6092919168254</v>
      </c>
      <c r="H6" s="312">
        <f>('Общая комиссия'!G6+'Общая комиссия'!J6+'Общая комиссия'!K6+'Общая комиссия'!L6+'Общая комиссия'!M6+'Общая комиссия'!N6+'Общая комиссия'!Q6)*1.22</f>
        <v>2092.3640740871906</v>
      </c>
      <c r="I6" s="310">
        <f>('Общая комиссия'!H6+'Общая комиссия'!J6+'Общая комиссия'!K6+'Общая комиссия'!L6+'Общая комиссия'!M6+'Общая комиссия'!O6+'Общая комиссия'!Q6)*1.22</f>
        <v>2183.8049276124952</v>
      </c>
      <c r="J6" s="311">
        <f>('Общая комиссия'!I6+'Общая комиссия'!J6+'Общая комиссия'!K6+'Общая комиссия'!L6+'Общая комиссия'!M6+'Общая комиссия'!P6+'Общая комиссия'!Q6)*1.22</f>
        <v>2419.3917134960934</v>
      </c>
      <c r="K6" s="312">
        <f t="shared" si="7"/>
        <v>1104.2325616937164</v>
      </c>
      <c r="L6" s="310">
        <f t="shared" si="8"/>
        <v>1104.1905902219851</v>
      </c>
      <c r="M6" s="311">
        <f t="shared" si="9"/>
        <v>927.21757842073202</v>
      </c>
      <c r="N6" s="297">
        <f t="shared" si="0"/>
        <v>0.29879367040680105</v>
      </c>
      <c r="O6" s="298">
        <f t="shared" si="10"/>
        <v>0.29874430373920458</v>
      </c>
      <c r="P6" s="299">
        <f t="shared" si="11"/>
        <v>9.0589395494386826E-2</v>
      </c>
      <c r="Q6" s="312">
        <f t="shared" si="1"/>
        <v>3197.6222555135068</v>
      </c>
      <c r="R6" s="310">
        <f t="shared" si="2"/>
        <v>3289.0631090388115</v>
      </c>
      <c r="S6" s="311">
        <f t="shared" si="3"/>
        <v>3524.6498949224097</v>
      </c>
      <c r="T6" s="339"/>
      <c r="U6" s="306">
        <v>3980.4150522781742</v>
      </c>
      <c r="V6" s="312">
        <f t="shared" si="4"/>
        <v>783.81841649726721</v>
      </c>
      <c r="W6" s="310">
        <f t="shared" si="5"/>
        <v>692.41953444369392</v>
      </c>
      <c r="X6" s="311">
        <f t="shared" si="6"/>
        <v>633.8057603613488</v>
      </c>
      <c r="Z6" s="362"/>
    </row>
    <row r="7" spans="1:26" ht="16" customHeight="1">
      <c r="A7" s="291" t="s">
        <v>85</v>
      </c>
      <c r="B7" s="314">
        <v>632063202</v>
      </c>
      <c r="C7" s="302" t="s">
        <v>86</v>
      </c>
      <c r="D7" s="308">
        <f>'[1]ЯП-04 NEW'!F39/1.07</f>
        <v>1032.8655200378028</v>
      </c>
      <c r="E7" s="309">
        <v>4755.073077530782</v>
      </c>
      <c r="F7" s="310">
        <v>5037.7341036100352</v>
      </c>
      <c r="G7" s="311">
        <v>5571.1092274013663</v>
      </c>
      <c r="H7" s="312">
        <f>('Общая комиссия'!G7+'Общая комиссия'!J7+'Общая комиссия'!K7+'Общая комиссия'!L7+'Общая комиссия'!M7+'Общая комиссия'!N7+'Общая комиссия'!Q7)*1.22</f>
        <v>3414.8820111102737</v>
      </c>
      <c r="I7" s="310">
        <f>('Общая комиссия'!H7+'Общая комиссия'!J7+'Общая комиссия'!K7+'Общая комиссия'!L7+'Общая комиссия'!M7+'Общая комиссия'!O7+'Общая комиссия'!Q7)*1.22</f>
        <v>3697.7359144277843</v>
      </c>
      <c r="J7" s="311">
        <f>('Общая комиссия'!I7+'Общая комиссия'!J7+'Общая комиссия'!K7+'Общая комиссия'!L7+'Общая комиссия'!M7+'Общая комиссия'!P7+'Общая комиссия'!Q7)*1.22</f>
        <v>4511.0718573892245</v>
      </c>
      <c r="K7" s="312">
        <f t="shared" si="7"/>
        <v>1340.1910664205084</v>
      </c>
      <c r="L7" s="310">
        <f t="shared" si="8"/>
        <v>1339.9981891822508</v>
      </c>
      <c r="M7" s="311">
        <f t="shared" si="9"/>
        <v>1060.0373700121418</v>
      </c>
      <c r="N7" s="297">
        <f t="shared" si="0"/>
        <v>0.29754652509985768</v>
      </c>
      <c r="O7" s="298">
        <f t="shared" si="10"/>
        <v>0.29735978516661787</v>
      </c>
      <c r="P7" s="299">
        <f t="shared" si="11"/>
        <v>2.6307248569343855E-2</v>
      </c>
      <c r="Q7" s="312">
        <f t="shared" si="1"/>
        <v>4757.6071871594177</v>
      </c>
      <c r="R7" s="310">
        <f t="shared" si="2"/>
        <v>5040.4610904769279</v>
      </c>
      <c r="S7" s="311">
        <f t="shared" si="3"/>
        <v>5853.7970334383681</v>
      </c>
      <c r="T7" s="339"/>
      <c r="U7" s="306">
        <v>6828.5089131427103</v>
      </c>
      <c r="V7" s="312">
        <f t="shared" si="4"/>
        <v>2073.4358356119283</v>
      </c>
      <c r="W7" s="310">
        <f t="shared" si="5"/>
        <v>1790.7748095326751</v>
      </c>
      <c r="X7" s="311">
        <f t="shared" si="6"/>
        <v>1257.399685741344</v>
      </c>
      <c r="Z7" s="362"/>
    </row>
    <row r="8" spans="1:26" ht="16" customHeight="1">
      <c r="A8" s="291" t="s">
        <v>87</v>
      </c>
      <c r="B8" s="314">
        <v>631939684</v>
      </c>
      <c r="C8" s="302" t="s">
        <v>88</v>
      </c>
      <c r="D8" s="308">
        <f>'[1]ЯП-05 NEW'!F39/1.07</f>
        <v>1219.2203853664955</v>
      </c>
      <c r="E8" s="309">
        <v>5538.2856598132375</v>
      </c>
      <c r="F8" s="310">
        <v>5814.7343556489914</v>
      </c>
      <c r="G8" s="311">
        <v>6357.0714611332514</v>
      </c>
      <c r="H8" s="312">
        <f>('Общая комиссия'!G8+'Общая комиссия'!J8+'Общая комиссия'!K8+'Общая комиссия'!L8+'Общая комиссия'!M8+'Общая комиссия'!N8+'Общая комиссия'!Q8)*1.22</f>
        <v>3956.2299122871882</v>
      </c>
      <c r="I8" s="310">
        <f>('Общая комиссия'!H8+'Общая комиссия'!J8+'Общая комиссия'!K8+'Общая комиссия'!L8+'Общая комиссия'!M8+'Общая комиссия'!O8+'Общая комиссия'!Q8)*1.22</f>
        <v>4232.8672463010171</v>
      </c>
      <c r="J8" s="311">
        <f>('Общая комиссия'!I8+'Общая комиссия'!J8+'Общая комиссия'!K8+'Общая комиссия'!L8+'Общая комиссия'!M8+'Общая комиссия'!P8+'Общая комиссия'!Q8)*1.22</f>
        <v>5094.616317211875</v>
      </c>
      <c r="K8" s="312">
        <f t="shared" si="7"/>
        <v>1582.0557475260493</v>
      </c>
      <c r="L8" s="310">
        <f t="shared" si="8"/>
        <v>1581.8671093479743</v>
      </c>
      <c r="M8" s="311">
        <f t="shared" si="9"/>
        <v>1262.4551439213765</v>
      </c>
      <c r="N8" s="297">
        <f t="shared" si="0"/>
        <v>0.29759620698146882</v>
      </c>
      <c r="O8" s="298">
        <f t="shared" si="10"/>
        <v>0.29744148665334835</v>
      </c>
      <c r="P8" s="299">
        <f t="shared" si="11"/>
        <v>3.5460987261859644E-2</v>
      </c>
      <c r="Q8" s="312">
        <f t="shared" si="1"/>
        <v>5541.2164132636326</v>
      </c>
      <c r="R8" s="310">
        <f t="shared" si="2"/>
        <v>5817.8537472774615</v>
      </c>
      <c r="S8" s="311">
        <f t="shared" si="3"/>
        <v>6679.6028181883194</v>
      </c>
      <c r="T8" s="339"/>
      <c r="U8" s="306">
        <v>7997.6248117720343</v>
      </c>
      <c r="V8" s="312">
        <f t="shared" si="4"/>
        <v>2459.3391519587967</v>
      </c>
      <c r="W8" s="310">
        <f t="shared" si="5"/>
        <v>2182.8904561230429</v>
      </c>
      <c r="X8" s="311">
        <f t="shared" si="6"/>
        <v>1640.5533506387828</v>
      </c>
      <c r="Z8" s="362"/>
    </row>
    <row r="9" spans="1:26" ht="16" customHeight="1">
      <c r="A9" s="291" t="s">
        <v>89</v>
      </c>
      <c r="B9" s="314">
        <v>631949713</v>
      </c>
      <c r="C9" s="302" t="s">
        <v>90</v>
      </c>
      <c r="D9" s="308">
        <f>'[1]ЯП-06 NEW'!F39/1.07</f>
        <v>1270.3599878416899</v>
      </c>
      <c r="E9" s="309">
        <v>6006.4496347950217</v>
      </c>
      <c r="F9" s="310">
        <v>6369.8709540397758</v>
      </c>
      <c r="G9" s="311">
        <v>7108.2937745467088</v>
      </c>
      <c r="H9" s="312">
        <f>('Общая комиссия'!G9+'Общая комиссия'!J9+'Общая комиссия'!K9+'Общая комиссия'!L9+'Общая комиссия'!M9+'Общая комиссия'!N9+'Общая комиссия'!Q9)*1.22</f>
        <v>4358.2265350469661</v>
      </c>
      <c r="I9" s="310">
        <f>('Общая комиссия'!H9+'Общая комиссия'!J9+'Общая комиссия'!K9+'Общая комиссия'!L9+'Общая комиссия'!M9+'Общая комиссия'!O9+'Общая комиссия'!Q9)*1.22</f>
        <v>4721.8958393123357</v>
      </c>
      <c r="J9" s="311">
        <f>('Общая комиссия'!I9+'Общая комиссия'!J9+'Общая комиссия'!K9+'Общая комиссия'!L9+'Общая комиссия'!M9+'Общая комиссия'!P9+'Общая комиссия'!Q9)*1.22</f>
        <v>5817.5659677706408</v>
      </c>
      <c r="K9" s="312">
        <f t="shared" si="7"/>
        <v>1648.2230997480556</v>
      </c>
      <c r="L9" s="310">
        <f t="shared" si="8"/>
        <v>1647.9751147274401</v>
      </c>
      <c r="M9" s="311">
        <f t="shared" si="9"/>
        <v>1290.7278067760681</v>
      </c>
      <c r="N9" s="297">
        <f t="shared" si="0"/>
        <v>0.29744569690702072</v>
      </c>
      <c r="O9" s="298">
        <f t="shared" si="10"/>
        <v>0.29725048844407409</v>
      </c>
      <c r="P9" s="299">
        <f t="shared" si="11"/>
        <v>1.6033108039700261E-2</v>
      </c>
      <c r="Q9" s="312">
        <f t="shared" si="1"/>
        <v>6009.6945192411631</v>
      </c>
      <c r="R9" s="310">
        <f t="shared" si="2"/>
        <v>6373.3638235065328</v>
      </c>
      <c r="S9" s="311">
        <f t="shared" si="3"/>
        <v>7469.0339519648378</v>
      </c>
      <c r="T9" s="339"/>
      <c r="U9" s="306">
        <v>8582.2660272952726</v>
      </c>
      <c r="V9" s="312">
        <f t="shared" si="4"/>
        <v>2575.8163925002509</v>
      </c>
      <c r="W9" s="310">
        <f t="shared" si="5"/>
        <v>2212.3950732554968</v>
      </c>
      <c r="X9" s="311">
        <f t="shared" si="6"/>
        <v>1473.9722527485637</v>
      </c>
      <c r="Z9" s="362"/>
    </row>
    <row r="10" spans="1:26" ht="16" customHeight="1">
      <c r="A10" s="291" t="s">
        <v>91</v>
      </c>
      <c r="B10" s="314">
        <v>631946118</v>
      </c>
      <c r="C10" s="302" t="s">
        <v>92</v>
      </c>
      <c r="D10" s="308">
        <f>'[1]ЯП-08 NEW'!F39/1.07</f>
        <v>1776.5508256996006</v>
      </c>
      <c r="E10" s="309">
        <v>7836.3058680527556</v>
      </c>
      <c r="F10" s="310">
        <v>8561.5278986526555</v>
      </c>
      <c r="G10" s="311">
        <v>9720.9656562909822</v>
      </c>
      <c r="H10" s="312">
        <f>('Общая комиссия'!G10+'Общая комиссия'!J10+'Общая комиссия'!K10+'Общая комиссия'!L10+'Общая комиссия'!M10+'Общая комиссия'!N10+'Общая комиссия'!Q10)*1.22</f>
        <v>5530.8708531512057</v>
      </c>
      <c r="I10" s="310">
        <f>('Общая комиссия'!H10+'Общая комиссия'!J10+'Общая комиссия'!K10+'Общая комиссия'!L10+'Общая комиссия'!M10+'Общая комиссия'!O10+'Общая комиссия'!Q10)*1.22</f>
        <v>6256.5877479505507</v>
      </c>
      <c r="J10" s="311">
        <f>('Общая комиссия'!I10+'Общая комиссия'!J10+'Общая комиссия'!K10+'Общая комиссия'!L10+'Общая комиссия'!M10+'Общая комиссия'!P10+'Общая комиссия'!Q10)*1.22</f>
        <v>7904.6820768939915</v>
      </c>
      <c r="K10" s="312">
        <f t="shared" si="7"/>
        <v>2305.4350149015499</v>
      </c>
      <c r="L10" s="310">
        <f t="shared" si="8"/>
        <v>2304.9401507021048</v>
      </c>
      <c r="M10" s="311">
        <f t="shared" si="9"/>
        <v>1816.2835793969907</v>
      </c>
      <c r="N10" s="297">
        <f t="shared" si="0"/>
        <v>0.29770281916571473</v>
      </c>
      <c r="O10" s="298">
        <f t="shared" si="10"/>
        <v>0.29742426580698922</v>
      </c>
      <c r="P10" s="299">
        <f t="shared" si="11"/>
        <v>2.2365109470900313E-2</v>
      </c>
      <c r="Q10" s="312">
        <f t="shared" si="1"/>
        <v>7840.3869265606863</v>
      </c>
      <c r="R10" s="310">
        <f t="shared" si="2"/>
        <v>8566.1038213600314</v>
      </c>
      <c r="S10" s="311">
        <f t="shared" si="3"/>
        <v>10214.198150303473</v>
      </c>
      <c r="T10" s="339"/>
      <c r="U10" s="306">
        <v>12009.335750969518</v>
      </c>
      <c r="V10" s="312">
        <f t="shared" si="4"/>
        <v>4173.0298829167623</v>
      </c>
      <c r="W10" s="310">
        <f t="shared" si="5"/>
        <v>3447.8078523168624</v>
      </c>
      <c r="X10" s="311">
        <f t="shared" si="6"/>
        <v>2288.3700946785357</v>
      </c>
      <c r="Z10" s="362"/>
    </row>
    <row r="11" spans="1:26" ht="16" customHeight="1">
      <c r="A11" s="291" t="s">
        <v>104</v>
      </c>
      <c r="B11" s="314">
        <v>1667684227</v>
      </c>
      <c r="C11" s="302" t="s">
        <v>105</v>
      </c>
      <c r="D11" s="308">
        <f>'[1]СМ-20'!F45/1.07</f>
        <v>1757.9447047892502</v>
      </c>
      <c r="E11" s="309">
        <v>5324.1189964111436</v>
      </c>
      <c r="F11" s="310">
        <v>5409.0258082000601</v>
      </c>
      <c r="G11" s="311">
        <v>5228.0185521885642</v>
      </c>
      <c r="H11" s="312">
        <f>('Общая комиссия'!G11+'Общая комиссия'!J11+'Общая комиссия'!K11+'Общая комиссия'!L11+'Общая комиссия'!M11+'Общая комиссия'!N11+'Общая комиссия'!Q11)*1.22</f>
        <v>3039.5553220048537</v>
      </c>
      <c r="I11" s="310">
        <f>('Общая комиссия'!H11+'Общая комиссия'!J11+'Общая комиссия'!K11+'Общая комиссия'!L11+'Общая комиссия'!M11+'Общая комиссия'!O11+'Общая комиссия'!Q11)*1.22</f>
        <v>3124.482846157845</v>
      </c>
      <c r="J11" s="311">
        <f>('Общая комиссия'!I11+'Общая комиссия'!J11+'Общая комиссия'!K11+'Общая комиссия'!L11+'Общая комиссия'!M11+'Общая комиссия'!P11+'Общая комиссия'!Q11)*1.22</f>
        <v>3240.9893052242351</v>
      </c>
      <c r="K11" s="312">
        <f t="shared" si="7"/>
        <v>2284.5636744062899</v>
      </c>
      <c r="L11" s="310">
        <f t="shared" si="8"/>
        <v>2284.5429620422151</v>
      </c>
      <c r="M11" s="311">
        <f t="shared" si="9"/>
        <v>1987.0292469643291</v>
      </c>
      <c r="N11" s="297">
        <f t="shared" si="0"/>
        <v>0.29956515024752894</v>
      </c>
      <c r="O11" s="298">
        <f t="shared" si="10"/>
        <v>0.29955336809987765</v>
      </c>
      <c r="P11" s="299">
        <f t="shared" si="11"/>
        <v>0.13031384977637428</v>
      </c>
      <c r="Q11" s="312">
        <f t="shared" si="1"/>
        <v>5324.8834382308796</v>
      </c>
      <c r="R11" s="310">
        <f t="shared" si="2"/>
        <v>5409.81096238387</v>
      </c>
      <c r="S11" s="311">
        <f t="shared" si="3"/>
        <v>5526.3174214502606</v>
      </c>
      <c r="T11" s="339"/>
      <c r="U11" s="306">
        <v>6083.7760978214992</v>
      </c>
      <c r="V11" s="312">
        <f t="shared" si="4"/>
        <v>759.65710141035561</v>
      </c>
      <c r="W11" s="310">
        <f t="shared" si="5"/>
        <v>674.75028962143915</v>
      </c>
      <c r="X11" s="311">
        <f t="shared" si="6"/>
        <v>855.75754563293503</v>
      </c>
      <c r="Z11" s="362"/>
    </row>
    <row r="12" spans="1:26" ht="16" customHeight="1">
      <c r="A12" s="291" t="s">
        <v>106</v>
      </c>
      <c r="B12" s="314">
        <v>1667684137</v>
      </c>
      <c r="C12" s="302" t="s">
        <v>105</v>
      </c>
      <c r="D12" s="308">
        <f>'[1]СМ-20Э'!F53/1.07</f>
        <v>2118.0062337432569</v>
      </c>
      <c r="E12" s="309">
        <v>6260.4327365514728</v>
      </c>
      <c r="F12" s="310">
        <v>6345.3395483403892</v>
      </c>
      <c r="G12" s="311">
        <v>6070.7009183148602</v>
      </c>
      <c r="H12" s="312">
        <f>('Общая комиссия'!G12+'Общая комиссия'!J12+'Общая комиссия'!K12+'Общая комиссия'!L12+'Общая комиссия'!M12+'Общая комиссия'!N12+'Общая комиссия'!Q12)*1.22</f>
        <v>3507.8994548230457</v>
      </c>
      <c r="I12" s="310">
        <f>('Общая комиссия'!H12+'Общая комиссия'!J12+'Общая комиссия'!K12+'Общая комиссия'!L12+'Общая комиссия'!M12+'Общая комиссия'!O12+'Общая комиссия'!Q12)*1.22</f>
        <v>3592.8269789760375</v>
      </c>
      <c r="J12" s="311">
        <f>('Общая комиссия'!I12+'Общая комиссия'!J12+'Общая комиссия'!K12+'Общая комиссия'!L12+'Общая комиссия'!M12+'Общая комиссия'!P12+'Общая комиссия'!Q12)*1.22</f>
        <v>3663.6413275235795</v>
      </c>
      <c r="K12" s="312">
        <f t="shared" si="7"/>
        <v>2752.533281728427</v>
      </c>
      <c r="L12" s="310">
        <f t="shared" si="8"/>
        <v>2752.5125693643517</v>
      </c>
      <c r="M12" s="311">
        <f t="shared" si="9"/>
        <v>2407.0595907912807</v>
      </c>
      <c r="N12" s="297">
        <f t="shared" si="0"/>
        <v>0.29958695960197401</v>
      </c>
      <c r="O12" s="298">
        <f t="shared" si="10"/>
        <v>0.2995771804220333</v>
      </c>
      <c r="P12" s="299">
        <f t="shared" si="11"/>
        <v>0.13647427115318989</v>
      </c>
      <c r="Q12" s="312">
        <f t="shared" si="1"/>
        <v>6261.3075586892792</v>
      </c>
      <c r="R12" s="310">
        <f t="shared" si="2"/>
        <v>6346.2350828422714</v>
      </c>
      <c r="S12" s="311">
        <f t="shared" si="3"/>
        <v>6417.0494313898134</v>
      </c>
      <c r="T12" s="339"/>
      <c r="U12" s="306">
        <v>7040.2145388217177</v>
      </c>
      <c r="V12" s="312">
        <f t="shared" si="4"/>
        <v>779.78180227024495</v>
      </c>
      <c r="W12" s="310">
        <f t="shared" si="5"/>
        <v>694.8749904813285</v>
      </c>
      <c r="X12" s="311">
        <f t="shared" si="6"/>
        <v>969.51362050685748</v>
      </c>
      <c r="Z12" s="362"/>
    </row>
    <row r="13" spans="1:26" ht="16" customHeight="1">
      <c r="A13" s="291" t="s">
        <v>107</v>
      </c>
      <c r="B13" s="314">
        <v>1672231528</v>
      </c>
      <c r="C13" s="302" t="s">
        <v>108</v>
      </c>
      <c r="D13" s="308">
        <f>'[1]СМ-23'!F48/1.07</f>
        <v>2310.3243241085129</v>
      </c>
      <c r="E13" s="309">
        <v>7486.2973028723191</v>
      </c>
      <c r="F13" s="310">
        <v>7735.5398794139801</v>
      </c>
      <c r="G13" s="311">
        <v>7876.5144223216003</v>
      </c>
      <c r="H13" s="312">
        <f>('Общая комиссия'!G13+'Общая комиссия'!J13+'Общая комиссия'!K13+'Общая комиссия'!L13+'Общая комиссия'!M13+'Общая комиссия'!N13+'Общая комиссия'!Q13)*1.22</f>
        <v>4484.0269108967332</v>
      </c>
      <c r="I13" s="310">
        <f>('Общая комиссия'!H13+'Общая комиссия'!J13+'Общая комиссия'!K13+'Общая комиссия'!L13+'Общая комиссия'!M13+'Общая комиссия'!O13+'Общая комиссия'!Q13)*1.22</f>
        <v>4733.3302882490634</v>
      </c>
      <c r="J13" s="311">
        <f>('Общая комиссия'!I13+'Общая комиссия'!J13+'Общая комиссия'!K13+'Общая комиссия'!L13+'Общая комиссия'!M13+'Общая комиссия'!P13+'Общая комиссия'!Q13)*1.22</f>
        <v>5322.6388651879815</v>
      </c>
      <c r="K13" s="312">
        <f t="shared" si="7"/>
        <v>3002.2703919755859</v>
      </c>
      <c r="L13" s="310">
        <f t="shared" si="8"/>
        <v>3002.2095911649167</v>
      </c>
      <c r="M13" s="311">
        <f t="shared" si="9"/>
        <v>2553.8755571336187</v>
      </c>
      <c r="N13" s="297">
        <f t="shared" si="0"/>
        <v>0.29950170227034034</v>
      </c>
      <c r="O13" s="298">
        <f t="shared" si="10"/>
        <v>0.29947538526798922</v>
      </c>
      <c r="P13" s="299">
        <f t="shared" si="11"/>
        <v>0.10541863342891711</v>
      </c>
      <c r="Q13" s="312">
        <f t="shared" si="1"/>
        <v>7487.4485322378005</v>
      </c>
      <c r="R13" s="310">
        <f t="shared" si="2"/>
        <v>7736.7519095901298</v>
      </c>
      <c r="S13" s="311">
        <f t="shared" si="3"/>
        <v>8326.0604865290479</v>
      </c>
      <c r="T13" s="339"/>
      <c r="U13" s="306">
        <v>9118.4065030921774</v>
      </c>
      <c r="V13" s="312">
        <f t="shared" si="4"/>
        <v>1632.1092002198584</v>
      </c>
      <c r="W13" s="310">
        <f t="shared" si="5"/>
        <v>1382.8666236781974</v>
      </c>
      <c r="X13" s="311">
        <f t="shared" si="6"/>
        <v>1241.8920807705772</v>
      </c>
      <c r="Z13" s="362"/>
    </row>
    <row r="14" spans="1:26" ht="16" customHeight="1">
      <c r="A14" s="291" t="s">
        <v>109</v>
      </c>
      <c r="B14" s="314">
        <v>1672231536</v>
      </c>
      <c r="C14" s="302" t="s">
        <v>108</v>
      </c>
      <c r="D14" s="308">
        <f>'[1]СМ-23Э'!F50/1.07</f>
        <v>2662.5405572218256</v>
      </c>
      <c r="E14" s="309">
        <v>8274.1354408419247</v>
      </c>
      <c r="F14" s="310">
        <v>8460.3826408950335</v>
      </c>
      <c r="G14" s="311">
        <v>8400.6910111474099</v>
      </c>
      <c r="H14" s="312">
        <f>('Общая комиссия'!G14+'Общая комиссия'!J14+'Общая комиссия'!K14+'Общая комиссия'!L14+'Общая комиссия'!M14+'Общая комиссия'!N14+'Общая комиссия'!Q14)*1.22</f>
        <v>4814.0535475091301</v>
      </c>
      <c r="I14" s="310">
        <f>('Общая комиссия'!H14+'Общая комиссия'!J14+'Общая комиссия'!K14+'Общая комиссия'!L14+'Общая комиссия'!M14+'Общая комиссия'!O14+'Общая комиссия'!Q14)*1.22</f>
        <v>5000.3461811350471</v>
      </c>
      <c r="J14" s="311">
        <f>('Общая комиссия'!I14+'Общая комиссия'!J14+'Общая комиссия'!K14+'Общая комиссия'!L14+'Общая комиссия'!M14+'Общая комиссия'!P14+'Общая комиссия'!Q14)*1.22</f>
        <v>5418.7736658182066</v>
      </c>
      <c r="K14" s="312">
        <f t="shared" si="7"/>
        <v>3460.0818933327946</v>
      </c>
      <c r="L14" s="310">
        <f t="shared" si="8"/>
        <v>3460.0364597599864</v>
      </c>
      <c r="M14" s="311">
        <f t="shared" si="9"/>
        <v>2981.9173453292033</v>
      </c>
      <c r="N14" s="297">
        <f t="shared" si="0"/>
        <v>0.29954147888854976</v>
      </c>
      <c r="O14" s="298">
        <f t="shared" si="10"/>
        <v>0.29952441489578363</v>
      </c>
      <c r="P14" s="299">
        <f t="shared" si="11"/>
        <v>0.11995189603444945</v>
      </c>
      <c r="Q14" s="312">
        <f t="shared" si="1"/>
        <v>8275.3562718975045</v>
      </c>
      <c r="R14" s="310">
        <f t="shared" si="2"/>
        <v>8461.6489055234197</v>
      </c>
      <c r="S14" s="311">
        <f t="shared" si="3"/>
        <v>8880.076390206581</v>
      </c>
      <c r="T14" s="339"/>
      <c r="U14" s="306">
        <v>9977.5250437864015</v>
      </c>
      <c r="V14" s="312">
        <f t="shared" si="4"/>
        <v>1703.3896029444768</v>
      </c>
      <c r="W14" s="310">
        <f t="shared" si="5"/>
        <v>1517.142402891368</v>
      </c>
      <c r="X14" s="311">
        <f t="shared" si="6"/>
        <v>1576.8340326389916</v>
      </c>
      <c r="Z14" s="362"/>
    </row>
    <row r="15" spans="1:26" ht="16" customHeight="1">
      <c r="A15" s="291" t="s">
        <v>110</v>
      </c>
      <c r="B15" s="314">
        <v>1672261347</v>
      </c>
      <c r="C15" s="302" t="s">
        <v>111</v>
      </c>
      <c r="D15" s="308">
        <f>'[1]СМ-25'!F45/1.07</f>
        <v>1970.8381336127632</v>
      </c>
      <c r="E15" s="309">
        <v>6103.631820071294</v>
      </c>
      <c r="F15" s="310">
        <v>6320.0072436624068</v>
      </c>
      <c r="G15" s="311">
        <v>6210.5942512098909</v>
      </c>
      <c r="H15" s="312">
        <f>('Общая комиссия'!G15+'Общая комиссия'!J15+'Общая комиссия'!K15+'Общая комиссия'!L15+'Общая комиссия'!M15+'Общая комиссия'!N15+'Общая комиссия'!Q15)*1.22</f>
        <v>3542.4396363996607</v>
      </c>
      <c r="I15" s="310">
        <f>('Общая комиссия'!H15+'Общая комиссия'!J15+'Общая комиссия'!K15+'Общая комиссия'!L15+'Общая комиссия'!M15+'Общая комиссия'!O15+'Общая комиссия'!Q15)*1.22</f>
        <v>3758.8678431121243</v>
      </c>
      <c r="J15" s="311">
        <f>('Общая комиссия'!I15+'Общая комиссия'!J15+'Общая комиссия'!K15+'Общая комиссия'!L15+'Общая комиссия'!M15+'Общая комиссия'!P15+'Общая комиссия'!Q15)*1.22</f>
        <v>4002.9103027952965</v>
      </c>
      <c r="K15" s="312">
        <f t="shared" si="7"/>
        <v>2561.1921836716333</v>
      </c>
      <c r="L15" s="310">
        <f t="shared" si="8"/>
        <v>2561.1394005502825</v>
      </c>
      <c r="M15" s="311">
        <f t="shared" si="9"/>
        <v>2207.6839484145944</v>
      </c>
      <c r="N15" s="297">
        <f t="shared" si="0"/>
        <v>0.29954466578982131</v>
      </c>
      <c r="O15" s="298">
        <f t="shared" si="10"/>
        <v>0.29951788372159838</v>
      </c>
      <c r="P15" s="299">
        <f t="shared" si="11"/>
        <v>0.12017517357839358</v>
      </c>
      <c r="Q15" s="312">
        <f t="shared" si="1"/>
        <v>6104.5292100962524</v>
      </c>
      <c r="R15" s="310">
        <f t="shared" si="2"/>
        <v>6320.9574168087165</v>
      </c>
      <c r="S15" s="311">
        <f t="shared" si="3"/>
        <v>6564.9998764918892</v>
      </c>
      <c r="T15" s="339"/>
      <c r="U15" s="306">
        <v>7396.2062302639915</v>
      </c>
      <c r="V15" s="312">
        <f t="shared" si="4"/>
        <v>1292.5744101926975</v>
      </c>
      <c r="W15" s="310">
        <f t="shared" si="5"/>
        <v>1076.1989866015847</v>
      </c>
      <c r="X15" s="311">
        <f t="shared" si="6"/>
        <v>1185.6119790541006</v>
      </c>
      <c r="Z15" s="362"/>
    </row>
    <row r="16" spans="1:26" ht="16" customHeight="1">
      <c r="A16" s="291" t="s">
        <v>112</v>
      </c>
      <c r="B16" s="314">
        <v>1672260987</v>
      </c>
      <c r="C16" s="302" t="s">
        <v>111</v>
      </c>
      <c r="D16" s="308">
        <f>'[1]СМ-25Э'!F50/1.07</f>
        <v>2358.8977404785846</v>
      </c>
      <c r="E16" s="309">
        <v>7112.7525194069231</v>
      </c>
      <c r="F16" s="310">
        <v>7329.1279429980359</v>
      </c>
      <c r="G16" s="311">
        <v>7118.8028806119564</v>
      </c>
      <c r="H16" s="312">
        <f>('Общая комиссия'!G16+'Общая комиссия'!J16+'Общая комиссия'!K16+'Общая комиссия'!L16+'Общая комиссия'!M16+'Общая комиссия'!N16+'Общая комиссия'!Q16)*1.22</f>
        <v>4047.2018102073421</v>
      </c>
      <c r="I16" s="310">
        <f>('Общая комиссия'!H16+'Общая комиссия'!J16+'Общая комиссия'!K16+'Общая комиссия'!L16+'Общая комиссия'!M16+'Общая комиссия'!O16+'Общая комиссия'!Q16)*1.22</f>
        <v>4263.6300169198057</v>
      </c>
      <c r="J16" s="311">
        <f>('Общая комиссия'!I16+'Общая комиссия'!J16+'Общая комиссия'!K16+'Общая комиссия'!L16+'Общая комиссия'!M16+'Общая комиссия'!P16+'Общая комиссия'!Q16)*1.22</f>
        <v>4458.4273864753986</v>
      </c>
      <c r="K16" s="312">
        <f t="shared" si="7"/>
        <v>3065.550709199581</v>
      </c>
      <c r="L16" s="310">
        <f t="shared" si="8"/>
        <v>3065.4979260782302</v>
      </c>
      <c r="M16" s="311">
        <f t="shared" si="9"/>
        <v>2660.3754941365578</v>
      </c>
      <c r="N16" s="297">
        <f t="shared" si="0"/>
        <v>0.29956914053325057</v>
      </c>
      <c r="O16" s="298">
        <f t="shared" si="10"/>
        <v>0.29954676435286554</v>
      </c>
      <c r="P16" s="299">
        <f t="shared" si="11"/>
        <v>0.12780450313069003</v>
      </c>
      <c r="Q16" s="312">
        <f t="shared" si="1"/>
        <v>7113.7688728295016</v>
      </c>
      <c r="R16" s="310">
        <f t="shared" si="2"/>
        <v>7330.1970795419656</v>
      </c>
      <c r="S16" s="311">
        <f t="shared" si="3"/>
        <v>7524.9944490975586</v>
      </c>
      <c r="T16" s="339"/>
      <c r="U16" s="306">
        <v>8427.0167197480459</v>
      </c>
      <c r="V16" s="312">
        <f t="shared" si="4"/>
        <v>1314.2642003411229</v>
      </c>
      <c r="W16" s="310">
        <f t="shared" si="5"/>
        <v>1097.88877675001</v>
      </c>
      <c r="X16" s="311">
        <f t="shared" si="6"/>
        <v>1308.2138391360895</v>
      </c>
      <c r="Z16" s="362"/>
    </row>
    <row r="17" spans="1:26" ht="16" customHeight="1">
      <c r="A17" s="305" t="s">
        <v>113</v>
      </c>
      <c r="B17" s="314">
        <v>1706788520</v>
      </c>
      <c r="C17" s="302" t="s">
        <v>114</v>
      </c>
      <c r="D17" s="308">
        <f>'[1]СМ-30'!F45/1.07</f>
        <v>2298.7605779093915</v>
      </c>
      <c r="E17" s="309">
        <v>7465.496777467115</v>
      </c>
      <c r="F17" s="310">
        <v>7714.739354008776</v>
      </c>
      <c r="G17" s="311">
        <v>7857.7939494569164</v>
      </c>
      <c r="H17" s="312">
        <f>('Общая комиссия'!G17+'Общая комиссия'!J17+'Общая комиссия'!K17+'Общая комиссия'!L17+'Общая комиссия'!M17+'Общая комиссия'!N17+'Общая комиссия'!Q17)*1.22</f>
        <v>4478.2584880890499</v>
      </c>
      <c r="I17" s="310">
        <f>('Общая комиссия'!H17+'Общая комиссия'!J17+'Общая комиссия'!K17+'Общая комиссия'!L17+'Общая комиссия'!M17+'Общая комиссия'!O17+'Общая комиссия'!Q17)*1.22</f>
        <v>4727.5618654413811</v>
      </c>
      <c r="J17" s="311">
        <f>('Общая комиссия'!I17+'Общая комиссия'!J17+'Общая комиссия'!K17+'Общая комиссия'!L17+'Общая комиссия'!M17+'Общая комиссия'!P17+'Общая комиссия'!Q17)*1.22</f>
        <v>5317.8855080200747</v>
      </c>
      <c r="K17" s="312">
        <f t="shared" si="7"/>
        <v>2987.238289378065</v>
      </c>
      <c r="L17" s="310">
        <f t="shared" si="8"/>
        <v>2987.1774885673949</v>
      </c>
      <c r="M17" s="311">
        <f t="shared" si="9"/>
        <v>2539.9084414368417</v>
      </c>
      <c r="N17" s="297">
        <f t="shared" si="0"/>
        <v>0.2994995294789724</v>
      </c>
      <c r="O17" s="298">
        <f t="shared" si="10"/>
        <v>0.29947308009087426</v>
      </c>
      <c r="P17" s="299">
        <f t="shared" si="11"/>
        <v>0.10490342745774872</v>
      </c>
      <c r="Q17" s="312">
        <f t="shared" si="1"/>
        <v>7466.6472393712593</v>
      </c>
      <c r="R17" s="310">
        <f t="shared" si="2"/>
        <v>7715.9506167235904</v>
      </c>
      <c r="S17" s="311">
        <f t="shared" si="3"/>
        <v>8306.2742593022831</v>
      </c>
      <c r="T17" s="339"/>
      <c r="U17" s="306">
        <v>9237.6693263212164</v>
      </c>
      <c r="V17" s="312">
        <f t="shared" si="4"/>
        <v>1772.1725488541015</v>
      </c>
      <c r="W17" s="310">
        <f t="shared" si="5"/>
        <v>1522.9299723124404</v>
      </c>
      <c r="X17" s="311">
        <f t="shared" si="6"/>
        <v>1379.8753768643001</v>
      </c>
      <c r="Z17" s="362"/>
    </row>
    <row r="18" spans="1:26" ht="16" customHeight="1">
      <c r="A18" s="305" t="s">
        <v>115</v>
      </c>
      <c r="B18" s="314">
        <v>1706788784</v>
      </c>
      <c r="C18" s="302" t="s">
        <v>114</v>
      </c>
      <c r="D18" s="308">
        <f>'[1]СМ-30Э'!F53/1.07</f>
        <v>2799.4388518952837</v>
      </c>
      <c r="E18" s="309">
        <v>8767.4741052993741</v>
      </c>
      <c r="F18" s="310">
        <v>9016.7166818410333</v>
      </c>
      <c r="G18" s="311">
        <v>9029.5735445059508</v>
      </c>
      <c r="H18" s="312">
        <f>('Общая комиссия'!G18+'Общая комиссия'!J18+'Общая комиссия'!K18+'Общая комиссия'!L18+'Общая комиссия'!M18+'Общая комиссия'!N18+'Общая комиссия'!Q18)*1.22</f>
        <v>5129.5075474707464</v>
      </c>
      <c r="I18" s="310">
        <f>('Общая комиссия'!H18+'Общая комиссия'!J18+'Общая комиссия'!K18+'Общая комиссия'!L18+'Общая комиссия'!M18+'Общая комиссия'!O18+'Общая комиссия'!Q18)*1.22</f>
        <v>5378.8109248230758</v>
      </c>
      <c r="J18" s="311">
        <f>('Общая комиссия'!I18+'Общая комиссия'!J18+'Общая комиссия'!K18+'Общая комиссия'!L18+'Общая комиссия'!M18+'Общая комиссия'!P18+'Общая комиссия'!Q18)*1.22</f>
        <v>5905.598073803556</v>
      </c>
      <c r="K18" s="312">
        <f t="shared" si="7"/>
        <v>3637.9665578286276</v>
      </c>
      <c r="L18" s="310">
        <f t="shared" si="8"/>
        <v>3637.9057570179575</v>
      </c>
      <c r="M18" s="311">
        <f t="shared" si="9"/>
        <v>3123.9754707023949</v>
      </c>
      <c r="N18" s="297">
        <f t="shared" si="0"/>
        <v>0.29953421035277894</v>
      </c>
      <c r="O18" s="298">
        <f t="shared" si="10"/>
        <v>0.29951249142484837</v>
      </c>
      <c r="P18" s="299">
        <f t="shared" si="11"/>
        <v>0.11592916865728009</v>
      </c>
      <c r="Q18" s="312">
        <f t="shared" si="1"/>
        <v>8768.7780549346153</v>
      </c>
      <c r="R18" s="310">
        <f t="shared" si="2"/>
        <v>9018.0814322869446</v>
      </c>
      <c r="S18" s="311">
        <f t="shared" si="3"/>
        <v>9544.8685812674248</v>
      </c>
      <c r="T18" s="339"/>
      <c r="U18" s="306">
        <v>10567.630877282403</v>
      </c>
      <c r="V18" s="312">
        <f t="shared" si="4"/>
        <v>1800.1567719830291</v>
      </c>
      <c r="W18" s="310">
        <f t="shared" si="5"/>
        <v>1550.9141954413699</v>
      </c>
      <c r="X18" s="311">
        <f t="shared" si="6"/>
        <v>1538.0573327764523</v>
      </c>
      <c r="Z18" s="362"/>
    </row>
    <row r="19" spans="1:26" ht="16" customHeight="1">
      <c r="A19" s="305" t="s">
        <v>116</v>
      </c>
      <c r="B19" s="314">
        <v>1672277739</v>
      </c>
      <c r="C19" s="302" t="s">
        <v>117</v>
      </c>
      <c r="D19" s="308">
        <f>'[1]СМ-50'!F48/1.07</f>
        <v>2878.1784573753748</v>
      </c>
      <c r="E19" s="309">
        <v>9500.6294280814054</v>
      </c>
      <c r="F19" s="310">
        <v>9821.0841693492548</v>
      </c>
      <c r="G19" s="311">
        <v>10051.773696289578</v>
      </c>
      <c r="H19" s="312">
        <f>('Общая комиссия'!G19+'Общая комиссия'!J19+'Общая комиссия'!K19+'Общая комиссия'!L19+'Общая комиссия'!M19+'Общая комиссия'!N19+'Общая комиссия'!Q19)*1.22</f>
        <v>5760.4838399263181</v>
      </c>
      <c r="I19" s="310">
        <f>('Общая комиссия'!H19+'Общая комиссия'!J19+'Общая комиссия'!K19+'Общая комиссия'!L19+'Общая комиссия'!M19+'Общая комиссия'!O19+'Общая комиссия'!Q19)*1.22</f>
        <v>6081.0167536650279</v>
      </c>
      <c r="J19" s="311">
        <f>('Общая комиссия'!I19+'Общая комиссия'!J19+'Общая комиссия'!K19+'Общая комиссия'!L19+'Общая комиссия'!M19+'Общая комиссия'!P19+'Общая комиссия'!Q19)*1.22</f>
        <v>6883.8692428119075</v>
      </c>
      <c r="K19" s="312">
        <f t="shared" si="7"/>
        <v>3740.1455881550874</v>
      </c>
      <c r="L19" s="310">
        <f t="shared" si="8"/>
        <v>3740.0674156842269</v>
      </c>
      <c r="M19" s="311">
        <f t="shared" si="9"/>
        <v>3167.9044534776704</v>
      </c>
      <c r="N19" s="297">
        <f t="shared" si="0"/>
        <v>0.29948356001724252</v>
      </c>
      <c r="O19" s="298">
        <f t="shared" si="10"/>
        <v>0.29945639961978343</v>
      </c>
      <c r="P19" s="299">
        <f t="shared" si="11"/>
        <v>0.10066297152626813</v>
      </c>
      <c r="Q19" s="312">
        <f t="shared" si="1"/>
        <v>9502.1158345143049</v>
      </c>
      <c r="R19" s="310">
        <f t="shared" si="2"/>
        <v>9822.6487482530156</v>
      </c>
      <c r="S19" s="311">
        <f t="shared" si="3"/>
        <v>10625.501237399894</v>
      </c>
      <c r="T19" s="339"/>
      <c r="U19" s="306">
        <v>12417.621266681948</v>
      </c>
      <c r="V19" s="312">
        <f t="shared" si="4"/>
        <v>2916.9918386005429</v>
      </c>
      <c r="W19" s="310">
        <f t="shared" si="5"/>
        <v>2596.5370973326935</v>
      </c>
      <c r="X19" s="311">
        <f t="shared" si="6"/>
        <v>2365.8475703923705</v>
      </c>
      <c r="Z19" s="362"/>
    </row>
    <row r="20" spans="1:26" ht="16" customHeight="1">
      <c r="A20" s="305" t="s">
        <v>118</v>
      </c>
      <c r="B20" s="314">
        <v>1672277747</v>
      </c>
      <c r="C20" s="302" t="s">
        <v>117</v>
      </c>
      <c r="D20" s="308">
        <f>'[1]СМ-50Э'!F53/1.07</f>
        <v>3279.2426006227747</v>
      </c>
      <c r="E20" s="309">
        <v>10543.567475617494</v>
      </c>
      <c r="F20" s="310">
        <v>10864.022216885343</v>
      </c>
      <c r="G20" s="311">
        <v>10990.417939072056</v>
      </c>
      <c r="H20" s="312">
        <f>('Общая комиссия'!G20+'Общая комиссия'!J20+'Общая комиссия'!K20+'Общая комиссия'!L20+'Общая комиссия'!M20+'Общая комиссия'!N20+'Общая комиссия'!Q20)*1.22</f>
        <v>6282.1614513038703</v>
      </c>
      <c r="I20" s="310">
        <f>('Общая комиссия'!H20+'Общая комиссия'!J20+'Общая комиссия'!K20+'Общая комиссия'!L20+'Общая комиссия'!M20+'Общая комиссия'!O20+'Общая комиссия'!Q20)*1.22</f>
        <v>6602.6943650425801</v>
      </c>
      <c r="J20" s="311">
        <f>('Общая комиссия'!I20+'Общая комиссия'!J20+'Общая комиссия'!K20+'Общая комиссия'!L20+'Общая комиссия'!M20+'Общая комиссия'!P20+'Общая комиссия'!Q20)*1.22</f>
        <v>7354.6514774696971</v>
      </c>
      <c r="K20" s="312">
        <f t="shared" si="7"/>
        <v>4261.4060243136237</v>
      </c>
      <c r="L20" s="310">
        <f t="shared" si="8"/>
        <v>4261.3278518427633</v>
      </c>
      <c r="M20" s="311">
        <f t="shared" si="9"/>
        <v>3635.7664616023594</v>
      </c>
      <c r="N20" s="297">
        <f t="shared" si="0"/>
        <v>0.29950922920564715</v>
      </c>
      <c r="O20" s="298">
        <f t="shared" si="10"/>
        <v>0.29948539063059143</v>
      </c>
      <c r="P20" s="299">
        <f t="shared" si="11"/>
        <v>0.10872140442182454</v>
      </c>
      <c r="Q20" s="312">
        <f t="shared" si="1"/>
        <v>10545.176832113477</v>
      </c>
      <c r="R20" s="310">
        <f t="shared" si="2"/>
        <v>10865.709745852188</v>
      </c>
      <c r="S20" s="311">
        <f t="shared" si="3"/>
        <v>11617.666858279305</v>
      </c>
      <c r="T20" s="339"/>
      <c r="U20" s="306">
        <v>13482.975651936074</v>
      </c>
      <c r="V20" s="312">
        <f t="shared" si="4"/>
        <v>2939.4081763185804</v>
      </c>
      <c r="W20" s="310">
        <f t="shared" si="5"/>
        <v>2618.9534350507311</v>
      </c>
      <c r="X20" s="311">
        <f t="shared" si="6"/>
        <v>2492.557712864018</v>
      </c>
      <c r="Z20" s="362"/>
    </row>
    <row r="21" spans="1:26" ht="16" customHeight="1">
      <c r="A21" s="305" t="s">
        <v>1299</v>
      </c>
      <c r="B21" s="314">
        <v>258467589</v>
      </c>
      <c r="C21" s="302" t="s">
        <v>1300</v>
      </c>
      <c r="D21" s="308">
        <f>'[1]40(4) NEW'!F44/1.07</f>
        <v>2793.8175123945243</v>
      </c>
      <c r="E21" s="309">
        <v>7814.1939059874694</v>
      </c>
      <c r="F21" s="310">
        <v>8027.547539551002</v>
      </c>
      <c r="G21" s="311">
        <v>8092.111264509228</v>
      </c>
      <c r="H21" s="312">
        <f>('Общая комиссия'!G21+'Общая комиссия'!J21+'Общая комиссия'!K21+'Общая комиссия'!L21+'Общая комиссия'!M21+'Общая комиссия'!N21+'Общая комиссия'!Q21)*1.22</f>
        <v>4182.486797856649</v>
      </c>
      <c r="I21" s="310">
        <f>('Общая комиссия'!H21+'Общая комиссия'!J21+'Общая комиссия'!K21+'Общая комиссия'!L21+'Общая комиссия'!M21+'Общая комиссия'!O21+'Общая комиссия'!Q21)*1.22</f>
        <v>4395.8528850588027</v>
      </c>
      <c r="J21" s="311">
        <f>('Общая комиссия'!I21+'Общая комиссия'!J21+'Общая комиссия'!K21+'Общая комиссия'!L21+'Общая комиссия'!M21+'Общая комиссия'!P21+'Общая комиссия'!Q21)*1.22</f>
        <v>4986.6399181714742</v>
      </c>
      <c r="K21" s="312">
        <f t="shared" si="7"/>
        <v>3631.7071081308204</v>
      </c>
      <c r="L21" s="310">
        <f t="shared" si="8"/>
        <v>3631.6946544921993</v>
      </c>
      <c r="M21" s="311">
        <f t="shared" si="9"/>
        <v>3105.4713463377539</v>
      </c>
      <c r="N21" s="297">
        <f t="shared" si="0"/>
        <v>0.2999084915242578</v>
      </c>
      <c r="O21" s="298">
        <f t="shared" si="10"/>
        <v>0.29990403395372356</v>
      </c>
      <c r="P21" s="299">
        <f t="shared" si="11"/>
        <v>0.11155124934273797</v>
      </c>
      <c r="Q21" s="312">
        <f t="shared" si="1"/>
        <v>7814.4495639695306</v>
      </c>
      <c r="R21" s="310">
        <f t="shared" si="2"/>
        <v>8027.8156511716843</v>
      </c>
      <c r="S21" s="311">
        <f t="shared" si="3"/>
        <v>8618.6026842843567</v>
      </c>
      <c r="T21" s="339"/>
      <c r="U21" s="306">
        <v>9587.7421194929666</v>
      </c>
      <c r="V21" s="312">
        <f t="shared" si="4"/>
        <v>1773.5482135054972</v>
      </c>
      <c r="W21" s="310">
        <f t="shared" si="5"/>
        <v>1560.1945799419645</v>
      </c>
      <c r="X21" s="311">
        <f t="shared" si="6"/>
        <v>1495.6308549837386</v>
      </c>
      <c r="Z21" s="362"/>
    </row>
    <row r="22" spans="1:26" ht="16" customHeight="1">
      <c r="A22" s="305" t="s">
        <v>1299</v>
      </c>
      <c r="B22" s="314">
        <v>258473499</v>
      </c>
      <c r="C22" s="302" t="s">
        <v>1301</v>
      </c>
      <c r="D22" s="308">
        <f>'[1]50(4) NEW'!F44/1.07</f>
        <v>3063.8194134409846</v>
      </c>
      <c r="E22" s="309">
        <v>9152.8146369900751</v>
      </c>
      <c r="F22" s="310">
        <v>8996.8845400387436</v>
      </c>
      <c r="G22" s="311">
        <v>9158.6903438093887</v>
      </c>
      <c r="H22" s="312">
        <f>('Общая комиссия'!G22+'Общая комиссия'!J22+'Общая комиссия'!K22+'Общая комиссия'!L22+'Общая комиссия'!M22+'Общая комиссия'!N22+'Общая комиссия'!Q22)*1.22</f>
        <v>5170.1512089135485</v>
      </c>
      <c r="I22" s="310">
        <f>('Общая комиссия'!H22+'Общая комиссия'!J22+'Общая комиссия'!K22+'Общая комиссия'!L22+'Общая комиссия'!M22+'Общая комиссия'!O22+'Общая комиссия'!Q22)*1.22</f>
        <v>5014.2315417484569</v>
      </c>
      <c r="J22" s="311">
        <f>('Общая комиссия'!I22+'Общая комиссия'!J22+'Общая комиссия'!K22+'Общая комиссия'!L22+'Общая комиссия'!M22+'Общая комиссия'!P22+'Общая комиссия'!Q22)*1.22</f>
        <v>5771.6245891525205</v>
      </c>
      <c r="K22" s="312">
        <f t="shared" si="7"/>
        <v>3982.6634280765265</v>
      </c>
      <c r="L22" s="310">
        <f t="shared" si="8"/>
        <v>3982.6529982902866</v>
      </c>
      <c r="M22" s="311">
        <f t="shared" si="9"/>
        <v>3387.0657546568682</v>
      </c>
      <c r="N22" s="297">
        <f t="shared" si="0"/>
        <v>0.29990149243280162</v>
      </c>
      <c r="O22" s="298">
        <f t="shared" si="10"/>
        <v>0.29989808825493314</v>
      </c>
      <c r="P22" s="299">
        <f t="shared" si="11"/>
        <v>0.10550437137313029</v>
      </c>
      <c r="Q22" s="312">
        <f t="shared" si="1"/>
        <v>9153.1164463868281</v>
      </c>
      <c r="R22" s="310">
        <f t="shared" si="2"/>
        <v>8997.1967792217365</v>
      </c>
      <c r="S22" s="311">
        <f t="shared" si="3"/>
        <v>9754.5898266258009</v>
      </c>
      <c r="T22" s="339"/>
      <c r="U22" s="306">
        <v>11568.408603674074</v>
      </c>
      <c r="V22" s="312">
        <f t="shared" si="4"/>
        <v>2415.5939666839986</v>
      </c>
      <c r="W22" s="310">
        <f t="shared" si="5"/>
        <v>2571.5240636353301</v>
      </c>
      <c r="X22" s="311">
        <f t="shared" si="6"/>
        <v>2409.718259864685</v>
      </c>
      <c r="Z22" s="362"/>
    </row>
    <row r="23" spans="1:26" ht="16" customHeight="1">
      <c r="A23" s="291" t="s">
        <v>1299</v>
      </c>
      <c r="B23" s="314">
        <v>888213183</v>
      </c>
      <c r="C23" s="302" t="s">
        <v>1302</v>
      </c>
      <c r="D23" s="308">
        <f>'[1]40(6) NEW'!F44/1.07</f>
        <v>3625.8010274768335</v>
      </c>
      <c r="E23" s="309">
        <v>9768.5110279005821</v>
      </c>
      <c r="F23" s="310">
        <v>10533.338011651209</v>
      </c>
      <c r="G23" s="311">
        <v>10813.344558666276</v>
      </c>
      <c r="H23" s="312">
        <f>('Общая комиссия'!G23+'Общая комиссия'!J23+'Общая комиссия'!K23+'Общая комиссия'!L23+'Общая комиссия'!M23+'Общая комиссия'!N23+'Общая комиссия'!Q23)*1.22</f>
        <v>5055.2958499947608</v>
      </c>
      <c r="I23" s="310">
        <f>('Общая комиссия'!H23+'Общая комиссия'!J23+'Общая комиссия'!K23+'Общая комиссия'!L23+'Общая комиссия'!M23+'Общая комиссия'!O23+'Общая комиссия'!Q23)*1.22</f>
        <v>5820.1479458042004</v>
      </c>
      <c r="J23" s="311">
        <f>('Общая комиссия'!I23+'Общая комиссия'!J23+'Общая комиссия'!K23+'Общая комиссия'!L23+'Общая комиссия'!M23+'Общая комиссия'!P23+'Общая комиссия'!Q23)*1.22</f>
        <v>6803.3486615060501</v>
      </c>
      <c r="K23" s="312">
        <f t="shared" si="7"/>
        <v>4713.2151779058213</v>
      </c>
      <c r="L23" s="310">
        <f t="shared" si="8"/>
        <v>4713.1900658470086</v>
      </c>
      <c r="M23" s="311">
        <f t="shared" si="9"/>
        <v>4009.9958971602264</v>
      </c>
      <c r="N23" s="297">
        <f t="shared" si="0"/>
        <v>0.29991004530817045</v>
      </c>
      <c r="O23" s="298">
        <f t="shared" si="10"/>
        <v>0.29990311937411529</v>
      </c>
      <c r="P23" s="299">
        <f t="shared" si="11"/>
        <v>0.10596137702314867</v>
      </c>
      <c r="Q23" s="312">
        <f t="shared" si="1"/>
        <v>9768.8371857146449</v>
      </c>
      <c r="R23" s="310">
        <f t="shared" si="2"/>
        <v>10533.689281524084</v>
      </c>
      <c r="S23" s="311">
        <f t="shared" si="3"/>
        <v>11516.889997225935</v>
      </c>
      <c r="T23" s="339"/>
      <c r="U23" s="306">
        <v>12214.235335451511</v>
      </c>
      <c r="V23" s="312">
        <f t="shared" si="4"/>
        <v>2445.7243075509286</v>
      </c>
      <c r="W23" s="310">
        <f t="shared" si="5"/>
        <v>1680.8973238003018</v>
      </c>
      <c r="X23" s="311">
        <f t="shared" si="6"/>
        <v>1400.8907767852343</v>
      </c>
      <c r="Z23" s="362"/>
    </row>
    <row r="24" spans="1:26" ht="16" customHeight="1">
      <c r="A24" s="291" t="s">
        <v>99</v>
      </c>
      <c r="B24" s="314">
        <v>906309058</v>
      </c>
      <c r="C24" s="302" t="s">
        <v>100</v>
      </c>
      <c r="D24" s="308">
        <f>'[1]ШБС-01 мини'!F49/1.07</f>
        <v>2638.1990763026552</v>
      </c>
      <c r="E24" s="309">
        <v>9149.4401895775409</v>
      </c>
      <c r="F24" s="310">
        <v>9524.6735190963045</v>
      </c>
      <c r="G24" s="311">
        <v>10095.598706444609</v>
      </c>
      <c r="H24" s="312">
        <f>('Общая комиссия'!G24+'Общая комиссия'!J24+'Общая комиссия'!K24+'Общая комиссия'!L24+'Общая комиссия'!M24+'Общая комиссия'!N24+'Общая комиссия'!Q24)*1.22</f>
        <v>5721.2759828266862</v>
      </c>
      <c r="I24" s="310">
        <f>('Общая комиссия'!H24+'Общая комиссия'!J24+'Общая комиссия'!K24+'Общая комиссия'!L24+'Общая комиссия'!M24+'Общая комиссия'!O24+'Общая комиссия'!Q24)*1.22</f>
        <v>6096.600847631842</v>
      </c>
      <c r="J24" s="311">
        <f>('Общая комиссия'!I24+'Общая комиссия'!J24+'Общая комиссия'!K24+'Общая комиссия'!L24+'Общая комиссия'!M24+'Общая комиссия'!P24+'Общая комиссия'!Q24)*1.22</f>
        <v>7242.2663390578145</v>
      </c>
      <c r="K24" s="312">
        <f t="shared" si="7"/>
        <v>3428.1642067508546</v>
      </c>
      <c r="L24" s="310">
        <f t="shared" si="8"/>
        <v>3428.0726714644625</v>
      </c>
      <c r="M24" s="311">
        <f t="shared" si="9"/>
        <v>2853.3323673867944</v>
      </c>
      <c r="N24" s="297">
        <f t="shared" si="0"/>
        <v>0.29943348003718828</v>
      </c>
      <c r="O24" s="298">
        <f t="shared" si="10"/>
        <v>0.29939878391163255</v>
      </c>
      <c r="P24" s="299">
        <f t="shared" si="11"/>
        <v>8.154551072985794E-2</v>
      </c>
      <c r="Q24" s="312">
        <f t="shared" si="1"/>
        <v>9150.9347820201383</v>
      </c>
      <c r="R24" s="310">
        <f t="shared" si="2"/>
        <v>9526.2596468252941</v>
      </c>
      <c r="S24" s="311">
        <f t="shared" si="3"/>
        <v>10671.925138251267</v>
      </c>
      <c r="T24" s="339"/>
      <c r="U24" s="306">
        <v>12153.617498511932</v>
      </c>
      <c r="V24" s="312">
        <f t="shared" si="4"/>
        <v>3004.1773089343915</v>
      </c>
      <c r="W24" s="310">
        <f t="shared" si="5"/>
        <v>2628.9439794156278</v>
      </c>
      <c r="X24" s="311">
        <f t="shared" si="6"/>
        <v>2058.0187920673234</v>
      </c>
      <c r="Z24" s="362"/>
    </row>
    <row r="25" spans="1:26" ht="16" customHeight="1">
      <c r="A25" s="291" t="s">
        <v>101</v>
      </c>
      <c r="B25" s="314">
        <v>906309023</v>
      </c>
      <c r="C25" s="302" t="s">
        <v>100</v>
      </c>
      <c r="D25" s="308">
        <f>'[1]ШБС-01 мини Т'!F48/1.07</f>
        <v>2818.2768816067905</v>
      </c>
      <c r="E25" s="309">
        <v>9608.4492328580309</v>
      </c>
      <c r="F25" s="310">
        <v>9983.6825623767945</v>
      </c>
      <c r="G25" s="311">
        <v>10508.706845397048</v>
      </c>
      <c r="H25" s="312">
        <f>('Общая комиссия'!G25+'Общая комиссия'!J25+'Общая комиссия'!K25+'Общая комиссия'!L25+'Общая комиссия'!M25+'Общая комиссия'!N25+'Общая комиссия'!Q25)*1.22</f>
        <v>5946.2363062755876</v>
      </c>
      <c r="I25" s="310">
        <f>('Общая комиссия'!H25+'Общая комиссия'!J25+'Общая комиссия'!K25+'Общая комиссия'!L25+'Общая комиссия'!M25+'Общая комиссия'!O25+'Общая комиссия'!Q25)*1.22</f>
        <v>6321.5611710807434</v>
      </c>
      <c r="J25" s="311">
        <f>('Общая комиссия'!I25+'Общая комиссия'!J25+'Общая комиссия'!K25+'Общая комиссия'!L25+'Общая комиссия'!M25+'Общая комиссия'!P25+'Общая комиссия'!Q25)*1.22</f>
        <v>7444.8270211946265</v>
      </c>
      <c r="K25" s="312">
        <f t="shared" si="7"/>
        <v>3662.2129265824433</v>
      </c>
      <c r="L25" s="310">
        <f t="shared" si="8"/>
        <v>3662.1213912960511</v>
      </c>
      <c r="M25" s="311">
        <f t="shared" si="9"/>
        <v>3063.8798242024213</v>
      </c>
      <c r="N25" s="297">
        <f t="shared" si="0"/>
        <v>0.29945107611090993</v>
      </c>
      <c r="O25" s="298">
        <f t="shared" si="10"/>
        <v>0.29941859694358963</v>
      </c>
      <c r="P25" s="299">
        <f t="shared" si="11"/>
        <v>8.7146491602203557E-2</v>
      </c>
      <c r="Q25" s="312">
        <f t="shared" si="1"/>
        <v>9609.9962523644153</v>
      </c>
      <c r="R25" s="310">
        <f t="shared" si="2"/>
        <v>9985.3211171695712</v>
      </c>
      <c r="S25" s="311">
        <f t="shared" si="3"/>
        <v>11108.586967283454</v>
      </c>
      <c r="T25" s="339"/>
      <c r="U25" s="306">
        <v>12481.981923032619</v>
      </c>
      <c r="V25" s="312">
        <f t="shared" si="4"/>
        <v>2873.5326901745884</v>
      </c>
      <c r="W25" s="310">
        <f t="shared" si="5"/>
        <v>2498.2993606558248</v>
      </c>
      <c r="X25" s="311">
        <f t="shared" si="6"/>
        <v>1973.2750776355715</v>
      </c>
      <c r="Z25" s="362"/>
    </row>
    <row r="26" spans="1:26" ht="16" customHeight="1">
      <c r="A26" s="290" t="s">
        <v>119</v>
      </c>
      <c r="B26" s="314">
        <v>2948118892</v>
      </c>
      <c r="C26" s="302" t="s">
        <v>120</v>
      </c>
      <c r="D26" s="308">
        <f>9734/1.07</f>
        <v>9097.196261682242</v>
      </c>
      <c r="E26" s="309">
        <v>31197.98671764629</v>
      </c>
      <c r="F26" s="310">
        <v>34076.601530231856</v>
      </c>
      <c r="G26" s="311">
        <v>36915.343795460452</v>
      </c>
      <c r="H26" s="312">
        <f>('Общая комиссия'!G26+'Общая комиссия'!J26+'Общая комиссия'!K26+'Общая комиссия'!L26+'Общая комиссия'!M26+'Общая комиссия'!N26+'Общая комиссия'!Q26)*1.22</f>
        <v>19376.67995616667</v>
      </c>
      <c r="I26" s="310">
        <f>('Общая комиссия'!H26+'Общая комиссия'!J26+'Общая комиссия'!K26+'Общая комиссия'!L26+'Общая комиссия'!M26+'Общая комиссия'!O26+'Общая комиссия'!Q26)*1.22</f>
        <v>22255.996984708428</v>
      </c>
      <c r="J26" s="311">
        <f>('Общая комиссия'!I26+'Общая комиссия'!J26+'Общая комиссия'!K26+'Общая комиссия'!L26+'Общая комиссия'!M26+'Общая комиссия'!P26+'Общая комиссия'!Q26)*1.22</f>
        <v>27196.505210139982</v>
      </c>
      <c r="K26" s="312">
        <f t="shared" si="7"/>
        <v>11821.30676147962</v>
      </c>
      <c r="L26" s="310">
        <f t="shared" si="8"/>
        <v>11820.604545523427</v>
      </c>
      <c r="M26" s="311">
        <f t="shared" si="9"/>
        <v>9718.8385853204709</v>
      </c>
      <c r="N26" s="297">
        <f t="shared" si="0"/>
        <v>0.29944506213100408</v>
      </c>
      <c r="O26" s="298">
        <f t="shared" si="10"/>
        <v>0.29936787175981805</v>
      </c>
      <c r="P26" s="299">
        <f t="shared" si="11"/>
        <v>6.8333396989203266E-2</v>
      </c>
      <c r="Q26" s="312">
        <f t="shared" si="1"/>
        <v>31203.035096353586</v>
      </c>
      <c r="R26" s="310">
        <f t="shared" si="2"/>
        <v>34082.352124895348</v>
      </c>
      <c r="S26" s="311">
        <f t="shared" si="3"/>
        <v>39022.860350326897</v>
      </c>
      <c r="T26" s="339"/>
      <c r="U26" s="306">
        <v>42319.47769690612</v>
      </c>
      <c r="V26" s="312">
        <f t="shared" si="4"/>
        <v>11121.49097925983</v>
      </c>
      <c r="W26" s="310">
        <f t="shared" si="5"/>
        <v>8242.8761666742648</v>
      </c>
      <c r="X26" s="311">
        <f t="shared" si="6"/>
        <v>5404.133901445668</v>
      </c>
      <c r="Z26" s="362"/>
    </row>
    <row r="27" spans="1:26" ht="16" customHeight="1">
      <c r="A27" s="290" t="s">
        <v>121</v>
      </c>
      <c r="B27" s="314">
        <v>2806318479</v>
      </c>
      <c r="C27" s="302" t="s">
        <v>120</v>
      </c>
      <c r="D27" s="308">
        <f>10727/1.07</f>
        <v>10025.233644859813</v>
      </c>
      <c r="E27" s="309">
        <v>33611.280233777616</v>
      </c>
      <c r="F27" s="310">
        <v>36489.895046363177</v>
      </c>
      <c r="G27" s="311">
        <v>39087.307959978636</v>
      </c>
      <c r="H27" s="312">
        <f>('Общая комиссия'!G27+'Общая комиссия'!J27+'Общая комиссия'!K27+'Общая комиссия'!L27+'Общая комиссия'!M27+'Общая комиссия'!N27+'Общая комиссия'!Q27)*1.22</f>
        <v>20583.809372935561</v>
      </c>
      <c r="I27" s="310">
        <f>('Общая комиссия'!H27+'Общая комиссия'!J27+'Общая комиссия'!K27+'Общая комиссия'!L27+'Общая комиссия'!M27+'Общая комиссия'!O27+'Общая комиссия'!Q27)*1.22</f>
        <v>23463.126401477319</v>
      </c>
      <c r="J27" s="311">
        <f>('Общая комиссия'!I27+'Общая комиссия'!J27+'Общая комиссия'!K27+'Общая комиссия'!L27+'Общая комиссия'!M27+'Общая комиссия'!P27+'Общая комиссия'!Q27)*1.22</f>
        <v>28285.865903321661</v>
      </c>
      <c r="K27" s="312">
        <f t="shared" si="7"/>
        <v>13027.470860842055</v>
      </c>
      <c r="L27" s="310">
        <f t="shared" si="8"/>
        <v>13026.768644885859</v>
      </c>
      <c r="M27" s="311">
        <f t="shared" si="9"/>
        <v>10801.442056656975</v>
      </c>
      <c r="N27" s="297">
        <f t="shared" si="0"/>
        <v>0.29946805454470016</v>
      </c>
      <c r="O27" s="298">
        <f t="shared" si="10"/>
        <v>0.29939800969775976</v>
      </c>
      <c r="P27" s="299">
        <f t="shared" si="11"/>
        <v>7.7425468502187345E-2</v>
      </c>
      <c r="Q27" s="312">
        <f t="shared" si="1"/>
        <v>33616.613111253318</v>
      </c>
      <c r="R27" s="310">
        <f t="shared" si="2"/>
        <v>36495.930139795077</v>
      </c>
      <c r="S27" s="311">
        <f t="shared" si="3"/>
        <v>41318.669641639419</v>
      </c>
      <c r="T27" s="339"/>
      <c r="U27" s="306">
        <v>44784.641394029313</v>
      </c>
      <c r="V27" s="312">
        <f t="shared" si="4"/>
        <v>11173.361160251698</v>
      </c>
      <c r="W27" s="310">
        <f t="shared" si="5"/>
        <v>8294.746347666136</v>
      </c>
      <c r="X27" s="311">
        <f t="shared" si="6"/>
        <v>5697.3334340506772</v>
      </c>
      <c r="Z27" s="362"/>
    </row>
    <row r="28" spans="1:26" ht="16" customHeight="1">
      <c r="A28" s="291" t="s">
        <v>84</v>
      </c>
      <c r="B28" s="314">
        <v>3558967942</v>
      </c>
      <c r="C28" s="302" t="s">
        <v>1303</v>
      </c>
      <c r="D28" s="313">
        <f>'[1]СПЭ(4)'!S42/1.07</f>
        <v>2072.4980661291302</v>
      </c>
      <c r="E28" s="309">
        <v>7080.6950606123191</v>
      </c>
      <c r="F28" s="310">
        <v>7324.45977832889</v>
      </c>
      <c r="G28" s="311">
        <v>7582.9584619550451</v>
      </c>
      <c r="H28" s="312">
        <f>('Общая комиссия'!G28+'Общая комиссия'!J28+'Общая комиссия'!K28+'Общая комиссия'!L28+'Общая комиссия'!M28+'Общая комиссия'!N28+'Общая комиссия'!Q28)*1.22</f>
        <v>4387.5896693182813</v>
      </c>
      <c r="I28" s="310">
        <f>('Общая комиссия'!H28+'Общая комиссия'!J28+'Общая комиссия'!K28+'Общая комиссия'!L28+'Общая комиссия'!M28+'Общая комиссия'!O28+'Общая комиссия'!Q28)*1.22</f>
        <v>4631.4138515639679</v>
      </c>
      <c r="J28" s="311">
        <f>('Общая комиссия'!I28+'Общая комиссия'!J28+'Общая комиссия'!K28+'Общая комиссия'!L28+'Общая комиссия'!M28+'Общая комиссия'!P28+'Общая комиссия'!Q28)*1.22</f>
        <v>5321.5672091735305</v>
      </c>
      <c r="K28" s="312">
        <f t="shared" si="7"/>
        <v>2693.1053912940379</v>
      </c>
      <c r="L28" s="310">
        <f t="shared" si="8"/>
        <v>2693.0459267649221</v>
      </c>
      <c r="M28" s="311">
        <f t="shared" si="9"/>
        <v>2261.3912527815146</v>
      </c>
      <c r="N28" s="297">
        <f t="shared" si="0"/>
        <v>0.29944892847308435</v>
      </c>
      <c r="O28" s="298">
        <f t="shared" si="10"/>
        <v>0.29942023627303493</v>
      </c>
      <c r="P28" s="299">
        <f t="shared" si="11"/>
        <v>9.114275653110071E-2</v>
      </c>
      <c r="Q28" s="312">
        <f t="shared" si="1"/>
        <v>7081.8371552861499</v>
      </c>
      <c r="R28" s="310">
        <f t="shared" si="2"/>
        <v>7325.6613375318375</v>
      </c>
      <c r="S28" s="311">
        <f t="shared" si="3"/>
        <v>8015.8146951414001</v>
      </c>
      <c r="T28" s="339"/>
      <c r="U28" s="306">
        <v>8671.1245544030098</v>
      </c>
      <c r="V28" s="312">
        <f t="shared" si="4"/>
        <v>1590.4294937906907</v>
      </c>
      <c r="W28" s="310">
        <f t="shared" si="5"/>
        <v>1346.6647760741198</v>
      </c>
      <c r="X28" s="311">
        <f t="shared" si="6"/>
        <v>1088.1660924479647</v>
      </c>
      <c r="Z28" s="362"/>
    </row>
    <row r="29" spans="1:26" ht="16" customHeight="1">
      <c r="A29" s="291" t="s">
        <v>84</v>
      </c>
      <c r="B29" s="314">
        <v>3558953998</v>
      </c>
      <c r="C29" s="302" t="s">
        <v>1304</v>
      </c>
      <c r="D29" s="313">
        <f>'[1]СПЭ(5)'!U36/1.07</f>
        <v>2282.1001788274516</v>
      </c>
      <c r="E29" s="309">
        <v>8426.4492426581546</v>
      </c>
      <c r="F29" s="310">
        <v>8275.9948907623602</v>
      </c>
      <c r="G29" s="311">
        <v>8661.1933455613707</v>
      </c>
      <c r="H29" s="312">
        <f>('Общая комиссия'!G29+'Общая комиссия'!J29+'Общая комиссия'!K29+'Общая комиссия'!L29+'Общая комиссия'!M29+'Общая комиссия'!N29+'Общая комиссия'!Q29)*1.22</f>
        <v>5461.0889919782476</v>
      </c>
      <c r="I29" s="310">
        <f>('Общая комиссия'!H29+'Общая комиссия'!J29+'Общая комиссия'!K29+'Общая комиссия'!L29+'Общая комиссия'!M29+'Общая комиссия'!O29+'Общая комиссия'!Q29)*1.22</f>
        <v>5310.6650186915003</v>
      </c>
      <c r="J29" s="311">
        <f>('Общая комиссия'!I29+'Общая комиссия'!J29+'Общая комиссия'!K29+'Общая комиссия'!L29+'Общая комиссия'!M29+'Общая комиссия'!P29+'Общая комиссия'!Q29)*1.22</f>
        <v>6188.9178646334176</v>
      </c>
      <c r="K29" s="312">
        <f t="shared" si="7"/>
        <v>2965.360250679907</v>
      </c>
      <c r="L29" s="310">
        <f t="shared" si="8"/>
        <v>2965.3298720708599</v>
      </c>
      <c r="M29" s="311">
        <f t="shared" si="9"/>
        <v>2472.2754809279531</v>
      </c>
      <c r="N29" s="297">
        <f t="shared" si="0"/>
        <v>0.29939968376126069</v>
      </c>
      <c r="O29" s="298">
        <f t="shared" si="10"/>
        <v>0.29938637207173491</v>
      </c>
      <c r="P29" s="299">
        <f t="shared" si="11"/>
        <v>8.333345918153956E-2</v>
      </c>
      <c r="Q29" s="312">
        <f t="shared" si="1"/>
        <v>8427.819224453935</v>
      </c>
      <c r="R29" s="310">
        <f t="shared" si="2"/>
        <v>8277.3952511671869</v>
      </c>
      <c r="S29" s="311">
        <f t="shared" si="3"/>
        <v>9155.6480971091041</v>
      </c>
      <c r="T29" s="339"/>
      <c r="U29" s="306">
        <v>9331.3379591096764</v>
      </c>
      <c r="V29" s="312">
        <f t="shared" si="4"/>
        <v>904.88871645152176</v>
      </c>
      <c r="W29" s="310">
        <f t="shared" si="5"/>
        <v>1055.3430683473161</v>
      </c>
      <c r="X29" s="311">
        <f t="shared" si="6"/>
        <v>670.14461354830564</v>
      </c>
      <c r="Z29" s="362"/>
    </row>
    <row r="30" spans="1:26" ht="16" customHeight="1">
      <c r="A30" s="291" t="s">
        <v>84</v>
      </c>
      <c r="B30" s="314">
        <v>3558882434</v>
      </c>
      <c r="C30" s="302" t="s">
        <v>1305</v>
      </c>
      <c r="D30" s="313">
        <f>'[1]СПЭ(4)'!S43/1.07</f>
        <v>2738.551313625258</v>
      </c>
      <c r="E30" s="309">
        <v>8920.6157376614319</v>
      </c>
      <c r="F30" s="310">
        <v>9766.7581603438412</v>
      </c>
      <c r="G30" s="311">
        <v>10313.474883567389</v>
      </c>
      <c r="H30" s="312">
        <f>('Общая комиссия'!G30+'Общая комиссия'!J30+'Общая комиссия'!K30+'Общая комиссия'!L30+'Общая комиссия'!M30+'Общая комиссия'!N30+'Общая комиссия'!Q30)*1.22</f>
        <v>5361.9539111776085</v>
      </c>
      <c r="I30" s="310">
        <f>('Общая комиссия'!H30+'Общая комиссия'!J30+'Общая комиссия'!K30+'Общая комиссия'!L30+'Общая комиссия'!M30+'Общая комиссия'!O30+'Общая комиссия'!Q30)*1.22</f>
        <v>6208.2356630082231</v>
      </c>
      <c r="J30" s="311">
        <f>('Общая комиссия'!I30+'Общая комиссия'!J30+'Общая комиссия'!K30+'Общая комиссия'!L30+'Общая комиссия'!M30+'Общая комиссия'!P30+'Общая комиссия'!Q30)*1.22</f>
        <v>7342.0874239413142</v>
      </c>
      <c r="K30" s="312">
        <f t="shared" si="7"/>
        <v>3558.6618264838235</v>
      </c>
      <c r="L30" s="310">
        <f t="shared" si="8"/>
        <v>3558.522497335618</v>
      </c>
      <c r="M30" s="311">
        <f t="shared" si="9"/>
        <v>2971.3874596260748</v>
      </c>
      <c r="N30" s="297">
        <f t="shared" si="0"/>
        <v>0.29946874056302208</v>
      </c>
      <c r="O30" s="298">
        <f t="shared" si="10"/>
        <v>0.29941786360938871</v>
      </c>
      <c r="P30" s="299">
        <f t="shared" si="11"/>
        <v>8.5021648067127753E-2</v>
      </c>
      <c r="Q30" s="312">
        <f t="shared" si="1"/>
        <v>8922.0706188904442</v>
      </c>
      <c r="R30" s="310">
        <f t="shared" si="2"/>
        <v>9768.3523707210588</v>
      </c>
      <c r="S30" s="311">
        <f t="shared" si="3"/>
        <v>10902.204131654151</v>
      </c>
      <c r="T30" s="339"/>
      <c r="U30" s="306">
        <v>12027.022985500073</v>
      </c>
      <c r="V30" s="312">
        <f t="shared" si="4"/>
        <v>3106.4072478386406</v>
      </c>
      <c r="W30" s="310">
        <f t="shared" si="5"/>
        <v>2260.2648251562314</v>
      </c>
      <c r="X30" s="311">
        <f t="shared" si="6"/>
        <v>1713.5481019326835</v>
      </c>
      <c r="Z30" s="362"/>
    </row>
    <row r="31" spans="1:26" ht="16" customHeight="1">
      <c r="A31" s="291" t="s">
        <v>1314</v>
      </c>
      <c r="B31" s="314">
        <v>3541466873</v>
      </c>
      <c r="C31" s="7" t="str">
        <f>C26</f>
        <v>1700x500x400</v>
      </c>
      <c r="D31" s="313">
        <f>D26+2500</f>
        <v>11597.196261682242</v>
      </c>
      <c r="E31" s="309">
        <v>42907.58182260883</v>
      </c>
      <c r="F31" s="310">
        <v>46172.161365568114</v>
      </c>
      <c r="G31" s="311">
        <v>48638.865405674427</v>
      </c>
      <c r="H31" s="312">
        <f>('Общая комиссия'!G31+'Общая комиссия'!J31+'Общая комиссия'!K31+'Общая комиссия'!L31+'Общая комиссия'!M31+'Общая комиссия'!N31+'Общая комиссия'!Q31)*1.22</f>
        <v>27851.181918848077</v>
      </c>
      <c r="I31" s="310">
        <f>('Общая комиссия'!H31+'Общая комиссия'!J31+'Общая комиссия'!K31+'Общая комиссия'!L31+'Общая комиссия'!M31+'Общая комиссия'!O31+'Общая комиссия'!Q31)*1.22</f>
        <v>31117.989087932721</v>
      </c>
      <c r="J31" s="311">
        <f>('Общая комиссия'!I31+'Общая комиссия'!J31+'Общая комиссия'!K31+'Общая комиссия'!L31+'Общая комиссия'!M31+'Общая комиссия'!P31+'Общая комиссия'!Q31)*1.22</f>
        <v>36027.411605951085</v>
      </c>
      <c r="K31" s="312">
        <f t="shared" si="7"/>
        <v>15056.399903760754</v>
      </c>
      <c r="L31" s="310">
        <f t="shared" si="8"/>
        <v>15054.172277635393</v>
      </c>
      <c r="M31" s="311">
        <f t="shared" si="9"/>
        <v>12611.453799723342</v>
      </c>
      <c r="N31" s="297">
        <f t="shared" si="0"/>
        <v>0.29827930510307099</v>
      </c>
      <c r="O31" s="298">
        <f t="shared" si="10"/>
        <v>0.29808722194132264</v>
      </c>
      <c r="P31" s="299">
        <f t="shared" si="11"/>
        <v>8.7457133185911529E-2</v>
      </c>
      <c r="Q31" s="312">
        <f t="shared" si="1"/>
        <v>42927.537059034992</v>
      </c>
      <c r="R31" s="310">
        <f t="shared" si="2"/>
        <v>46194.344228119633</v>
      </c>
      <c r="S31" s="311">
        <f t="shared" si="3"/>
        <v>51103.766746138004</v>
      </c>
      <c r="T31" s="339"/>
      <c r="U31" s="307">
        <v>56203.001257176773</v>
      </c>
      <c r="V31" s="312">
        <f t="shared" si="4"/>
        <v>13295.419434567943</v>
      </c>
      <c r="W31" s="310">
        <f t="shared" si="5"/>
        <v>10030.839891608659</v>
      </c>
      <c r="X31" s="311">
        <f t="shared" si="6"/>
        <v>7564.1358515023458</v>
      </c>
      <c r="Z31" s="362"/>
    </row>
    <row r="32" spans="1:26" ht="16" customHeight="1">
      <c r="A32" s="291" t="s">
        <v>1315</v>
      </c>
      <c r="B32" s="314">
        <v>3541430418</v>
      </c>
      <c r="C32" s="7"/>
      <c r="D32" s="313">
        <f>'расход ШО1'!F40/1.07</f>
        <v>5469.8699796157971</v>
      </c>
      <c r="E32" s="309">
        <v>18800.428438638686</v>
      </c>
      <c r="F32" s="310">
        <v>19225.973060318443</v>
      </c>
      <c r="G32" s="311">
        <v>19031.024795003959</v>
      </c>
      <c r="H32" s="312">
        <f>('Общая комиссия'!G32+'Общая комиссия'!J32+'Общая комиссия'!K32+'Общая комиссия'!L32+'Общая комиссия'!M32+'Общая комиссия'!N32+'Общая комиссия'!Q32)*1.22</f>
        <v>11697.844439764032</v>
      </c>
      <c r="I32" s="310">
        <f>('Общая комиссия'!H32+'Общая комиссия'!J32+'Общая комиссия'!K32+'Общая комиссия'!L32+'Общая комиссия'!M32+'Общая комиссия'!O32+'Общая комиссия'!Q32)*1.22</f>
        <v>12123.679437066217</v>
      </c>
      <c r="J32" s="311">
        <f>('Общая комиссия'!I32+'Общая комиссия'!J32+'Общая комиссия'!K32+'Общая комиссия'!L32+'Общая комиссия'!M32+'Общая комиссия'!P32+'Общая комиссия'!Q32)*1.22</f>
        <v>12883.706839408567</v>
      </c>
      <c r="K32" s="312">
        <f t="shared" si="7"/>
        <v>7102.5839988746538</v>
      </c>
      <c r="L32" s="310">
        <f t="shared" si="8"/>
        <v>7102.2936232522261</v>
      </c>
      <c r="M32" s="311">
        <f t="shared" si="9"/>
        <v>6147.317955595392</v>
      </c>
      <c r="N32" s="297">
        <f t="shared" si="0"/>
        <v>0.29849229055597015</v>
      </c>
      <c r="O32" s="298">
        <f t="shared" si="10"/>
        <v>0.29843920417119141</v>
      </c>
      <c r="P32" s="299">
        <f t="shared" si="11"/>
        <v>0.12385083713217959</v>
      </c>
      <c r="Q32" s="312">
        <f t="shared" si="1"/>
        <v>18808.675413264569</v>
      </c>
      <c r="R32" s="310">
        <f t="shared" si="2"/>
        <v>19234.510410566756</v>
      </c>
      <c r="S32" s="311">
        <f t="shared" si="3"/>
        <v>19994.537812909104</v>
      </c>
      <c r="T32" s="339"/>
      <c r="U32" s="306">
        <v>22673.871708318748</v>
      </c>
      <c r="V32" s="312">
        <f t="shared" si="4"/>
        <v>3873.4432696800613</v>
      </c>
      <c r="W32" s="310">
        <f t="shared" si="5"/>
        <v>3447.8986480003041</v>
      </c>
      <c r="X32" s="311">
        <f t="shared" si="6"/>
        <v>3642.8469133147883</v>
      </c>
      <c r="Z32" s="362"/>
    </row>
    <row r="33" spans="1:26" ht="16" customHeight="1">
      <c r="A33" s="291" t="s">
        <v>1316</v>
      </c>
      <c r="B33" s="314">
        <v>3541476893</v>
      </c>
      <c r="C33" s="7"/>
      <c r="D33" s="313">
        <f>'расход ШО2'!F40/1.07</f>
        <v>3522.7852717384317</v>
      </c>
      <c r="E33" s="309">
        <v>12341.181837157959</v>
      </c>
      <c r="F33" s="310">
        <v>12617.630532993711</v>
      </c>
      <c r="G33" s="311">
        <v>12479.678020743502</v>
      </c>
      <c r="H33" s="312">
        <f>('Общая комиссия'!G33+'Общая комиссия'!J33+'Общая комиссия'!K33+'Общая комиссия'!L33+'Общая комиссия'!M33+'Общая комиссия'!N33+'Общая комиссия'!Q33)*1.22</f>
        <v>7767.0612470130463</v>
      </c>
      <c r="I33" s="310">
        <f>('Общая комиссия'!H33+'Общая комиссия'!J33+'Общая комиссия'!K33+'Общая комиссия'!L33+'Общая комиссия'!M33+'Общая комиссия'!O33+'Общая комиссия'!Q33)*1.22</f>
        <v>8043.6985810268752</v>
      </c>
      <c r="J33" s="311">
        <f>('Общая комиссия'!I33+'Общая комиссия'!J33+'Общая комиссия'!K33+'Общая комиссия'!L33+'Общая комиссия'!M33+'Общая комиссия'!P33+'Общая комиссия'!Q33)*1.22</f>
        <v>8531.9686518015096</v>
      </c>
      <c r="K33" s="312">
        <f t="shared" si="7"/>
        <v>4574.120590144913</v>
      </c>
      <c r="L33" s="310">
        <f t="shared" si="8"/>
        <v>4573.9319519668361</v>
      </c>
      <c r="M33" s="311">
        <f t="shared" si="9"/>
        <v>3947.7093689419926</v>
      </c>
      <c r="N33" s="297">
        <f t="shared" si="0"/>
        <v>0.29843866069295388</v>
      </c>
      <c r="O33" s="298">
        <f t="shared" si="10"/>
        <v>0.2983851126724173</v>
      </c>
      <c r="P33" s="299">
        <f t="shared" si="11"/>
        <v>0.12062162874714999</v>
      </c>
      <c r="Q33" s="312">
        <f t="shared" si="1"/>
        <v>12346.682100273007</v>
      </c>
      <c r="R33" s="310">
        <f t="shared" si="2"/>
        <v>12623.319434286837</v>
      </c>
      <c r="S33" s="311">
        <f t="shared" si="3"/>
        <v>13111.589505061471</v>
      </c>
      <c r="T33" s="339"/>
      <c r="U33" s="306">
        <v>14765.313088450235</v>
      </c>
      <c r="V33" s="312">
        <f t="shared" si="4"/>
        <v>2424.1312512922759</v>
      </c>
      <c r="W33" s="310">
        <f t="shared" si="5"/>
        <v>2147.6825554565239</v>
      </c>
      <c r="X33" s="311">
        <f t="shared" si="6"/>
        <v>2285.635067706733</v>
      </c>
      <c r="Z33" s="362"/>
    </row>
    <row r="34" spans="1:26" ht="16" customHeight="1">
      <c r="A34" s="291" t="s">
        <v>1317</v>
      </c>
      <c r="B34" s="314">
        <v>3541448015</v>
      </c>
      <c r="C34" s="7"/>
      <c r="D34" s="313">
        <f>'расход ШО3'!F41/1.07</f>
        <v>3511.8574277382254</v>
      </c>
      <c r="E34" s="309">
        <v>12087.791320511387</v>
      </c>
      <c r="F34" s="310">
        <v>12370.452346590639</v>
      </c>
      <c r="G34" s="311">
        <v>12170.555646083911</v>
      </c>
      <c r="H34" s="312">
        <f>('Общая комиссия'!G34+'Общая комиссия'!J34+'Общая комиссия'!K34+'Общая комиссия'!L34+'Общая комиссия'!M34+'Общая комиссия'!N34+'Общая комиссия'!Q34)*1.22</f>
        <v>7527.685489070991</v>
      </c>
      <c r="I34" s="310">
        <f>('Общая комиссия'!H34+'Общая комиссия'!J34+'Общая комиссия'!K34+'Общая комиссия'!L34+'Общая комиссия'!M34+'Общая комиссия'!O34+'Общая комиссия'!Q34)*1.22</f>
        <v>7810.5393923885003</v>
      </c>
      <c r="J34" s="311">
        <f>('Общая комиссия'!I34+'Общая комиссия'!J34+'Общая комиссия'!K34+'Общая комиссия'!L34+'Общая комиссия'!M34+'Общая комиссия'!P34+'Общая комиссия'!Q34)*1.22</f>
        <v>8221.3091038103066</v>
      </c>
      <c r="K34" s="312">
        <f t="shared" si="7"/>
        <v>4560.1058314403963</v>
      </c>
      <c r="L34" s="310">
        <f t="shared" si="8"/>
        <v>4559.9129542021383</v>
      </c>
      <c r="M34" s="311">
        <f t="shared" si="9"/>
        <v>3949.2465422736041</v>
      </c>
      <c r="N34" s="297">
        <f t="shared" si="0"/>
        <v>0.29848831430986777</v>
      </c>
      <c r="O34" s="298">
        <f t="shared" si="10"/>
        <v>0.29843339259330404</v>
      </c>
      <c r="P34" s="299">
        <f t="shared" si="11"/>
        <v>0.12454637568162163</v>
      </c>
      <c r="Q34" s="312">
        <f t="shared" si="1"/>
        <v>12093.100145130684</v>
      </c>
      <c r="R34" s="310">
        <f t="shared" si="2"/>
        <v>12375.954048448193</v>
      </c>
      <c r="S34" s="311">
        <f t="shared" si="3"/>
        <v>12786.723759869999</v>
      </c>
      <c r="T34" s="339"/>
      <c r="U34" s="306">
        <v>14303.288774064316</v>
      </c>
      <c r="V34" s="312">
        <f t="shared" si="4"/>
        <v>2215.4974535529291</v>
      </c>
      <c r="W34" s="310">
        <f t="shared" si="5"/>
        <v>1932.8364274736778</v>
      </c>
      <c r="X34" s="311">
        <f t="shared" si="6"/>
        <v>2132.7331279804057</v>
      </c>
      <c r="Z34" s="362"/>
    </row>
    <row r="35" spans="1:26" ht="16" customHeight="1">
      <c r="A35" s="291" t="s">
        <v>1318</v>
      </c>
      <c r="B35" s="314">
        <v>3541452420</v>
      </c>
      <c r="C35" s="7"/>
      <c r="D35" s="313">
        <f>'расход ШО4'!F41/1.07</f>
        <v>6486.9428876292368</v>
      </c>
      <c r="E35" s="309">
        <v>22478.05129937247</v>
      </c>
      <c r="F35" s="310">
        <v>23096.178158600727</v>
      </c>
      <c r="G35" s="311">
        <v>23059.341362325151</v>
      </c>
      <c r="H35" s="311">
        <f>('Общая комиссия'!G35+'Общая комиссия'!J35+'Общая комиссия'!K35+'Общая комиссия'!L35+'Общая комиссия'!M35+'Общая комиссия'!N35+'Общая комиссия'!Q35)*1.22</f>
        <v>14054.953389207831</v>
      </c>
      <c r="I35" s="311">
        <f>('Общая комиссия'!H35+'Общая комиссия'!J35+'Общая комиссия'!K35+'Общая комиссия'!L35+'Общая комиссия'!M35+'Общая комиссия'!O35+'Общая комиссия'!Q35)*1.22</f>
        <v>14673.502034924144</v>
      </c>
      <c r="J35" s="311">
        <f>('Общая комиссия'!I35+'Общая комиссия'!J35+'Общая комиссия'!K35+'Общая комиссия'!L35+'Общая комиссия'!M35+'Общая комиссия'!P35+'Общая комиссия'!Q35)*1.22</f>
        <v>15793.917633768851</v>
      </c>
      <c r="K35" s="311">
        <f t="shared" si="7"/>
        <v>8423.097910164639</v>
      </c>
      <c r="L35" s="311">
        <f t="shared" si="8"/>
        <v>8422.6761236765833</v>
      </c>
      <c r="M35" s="311">
        <f t="shared" si="9"/>
        <v>7265.4237285562995</v>
      </c>
      <c r="N35" s="311">
        <f t="shared" si="0"/>
        <v>0.2984695651055751</v>
      </c>
      <c r="O35" s="311">
        <f t="shared" si="10"/>
        <v>0.29840454426365293</v>
      </c>
      <c r="P35" s="299">
        <f t="shared" si="11"/>
        <v>0.12000735237112159</v>
      </c>
      <c r="Q35" s="311">
        <f t="shared" si="1"/>
        <v>22487.979143125838</v>
      </c>
      <c r="R35" s="311">
        <f t="shared" si="2"/>
        <v>23106.527788842151</v>
      </c>
      <c r="S35" s="311">
        <f t="shared" si="3"/>
        <v>24226.943387686857</v>
      </c>
      <c r="T35" s="339"/>
      <c r="U35" s="306">
        <v>27743.138462718151</v>
      </c>
      <c r="V35" s="312">
        <f t="shared" si="4"/>
        <v>5265.0871633456809</v>
      </c>
      <c r="W35" s="310">
        <f t="shared" si="5"/>
        <v>4646.9603041174232</v>
      </c>
      <c r="X35" s="311">
        <f t="shared" si="6"/>
        <v>4683.7971003929997</v>
      </c>
      <c r="Z35" s="362"/>
    </row>
    <row r="36" spans="1:26">
      <c r="A36" s="325" t="s">
        <v>1385</v>
      </c>
      <c r="B36" s="7"/>
      <c r="C36" s="7"/>
      <c r="D36" s="335">
        <f>'ВС-О Опора'!F26+'ВС-ПС.1200.0 Полка-стенка'!F25+'ВС-С.1200х22'!F22+'ВС-О Опора'!F26</f>
        <v>5215.2221299417633</v>
      </c>
      <c r="E36" s="326"/>
      <c r="F36" s="7"/>
      <c r="G36" s="311">
        <v>17189.903907432134</v>
      </c>
      <c r="H36" s="311"/>
      <c r="I36" s="311"/>
      <c r="J36" s="311">
        <f>('Общая комиссия'!I36+'Общая комиссия'!J36+'Общая комиссия'!K36+'Общая комиссия'!L36+'Общая комиссия'!M36+'Общая комиссия'!P36+'Общая комиссия'!Q36)*1.22</f>
        <v>11292.999245180243</v>
      </c>
      <c r="K36" s="311"/>
      <c r="L36" s="311"/>
      <c r="M36" s="311">
        <f t="shared" si="9"/>
        <v>5896.9046622518908</v>
      </c>
      <c r="N36" s="311"/>
      <c r="O36" s="311"/>
      <c r="P36" s="299">
        <f t="shared" si="11"/>
        <v>0.13071016254445511</v>
      </c>
      <c r="Q36" s="311"/>
      <c r="R36" s="311"/>
      <c r="S36" s="311">
        <f t="shared" si="3"/>
        <v>18072.788014104535</v>
      </c>
      <c r="T36" s="7"/>
      <c r="U36" s="7"/>
      <c r="V36" s="7"/>
      <c r="W36" s="7"/>
      <c r="X36" s="7"/>
      <c r="Z36" s="362"/>
    </row>
    <row r="37" spans="1:26">
      <c r="A37" s="325" t="s">
        <v>1386</v>
      </c>
      <c r="B37" s="7"/>
      <c r="C37" s="7"/>
      <c r="D37" s="313">
        <f>'ВС-С.1400х22'!F22+'ВС-ПС.1400.0 Полка-стенка'!F25+'ВС-О Опора'!F26+'ВС-О Опора'!F26</f>
        <v>5985.4851671342813</v>
      </c>
      <c r="E37" s="326"/>
      <c r="F37" s="7"/>
      <c r="G37" s="311">
        <v>21159.396882395275</v>
      </c>
      <c r="H37" s="311"/>
      <c r="I37" s="311"/>
      <c r="J37" s="311">
        <f>('Общая комиссия'!I37+'Общая комиссия'!J37+'Общая комиссия'!K37+'Общая комиссия'!L37+'Общая комиссия'!M37+'Общая комиссия'!P37+'Общая комиссия'!Q37)*1.22</f>
        <v>14465.025888435006</v>
      </c>
      <c r="K37" s="311"/>
      <c r="L37" s="311"/>
      <c r="M37" s="311">
        <f t="shared" si="9"/>
        <v>6694.3709939602686</v>
      </c>
      <c r="N37" s="311"/>
      <c r="O37" s="311"/>
      <c r="P37" s="299">
        <f t="shared" si="11"/>
        <v>0.11843414644453731</v>
      </c>
      <c r="Q37" s="311"/>
      <c r="R37" s="311"/>
      <c r="S37" s="311">
        <f t="shared" si="3"/>
        <v>22246.15660570957</v>
      </c>
      <c r="T37" s="7"/>
      <c r="U37" s="7"/>
      <c r="V37" s="7"/>
      <c r="W37" s="7"/>
      <c r="X37" s="7"/>
      <c r="Z37" s="362"/>
    </row>
    <row r="38" spans="1:26">
      <c r="A38" s="325" t="s">
        <v>1387</v>
      </c>
      <c r="B38" s="7"/>
      <c r="C38" s="327" t="s">
        <v>1407</v>
      </c>
      <c r="D38" s="313">
        <f>'10.3 100 кг'!X30</f>
        <v>2894.2678220934358</v>
      </c>
      <c r="E38" s="326"/>
      <c r="F38" s="7"/>
      <c r="G38" s="311">
        <v>7939.4496509860501</v>
      </c>
      <c r="H38" s="7"/>
      <c r="I38" s="7"/>
      <c r="J38" s="311">
        <f>('Общая комиссия'!I38+'Общая комиссия'!J38+'Общая комиссия'!K38+'Общая комиссия'!L38+'Общая комиссия'!M38+'Общая комиссия'!P38+'Общая комиссия'!Q38)*1.22</f>
        <v>4685.4867152290135</v>
      </c>
      <c r="K38" s="7"/>
      <c r="L38" s="7"/>
      <c r="M38" s="311">
        <f t="shared" si="9"/>
        <v>3253.9629357570366</v>
      </c>
      <c r="N38" s="328"/>
      <c r="O38" s="328"/>
      <c r="P38" s="299">
        <f t="shared" si="11"/>
        <v>0.12427844822025902</v>
      </c>
      <c r="Q38" s="7"/>
      <c r="R38" s="7"/>
      <c r="S38" s="311">
        <f t="shared" si="3"/>
        <v>8448.0348839504804</v>
      </c>
      <c r="T38" s="7"/>
      <c r="U38" s="7"/>
      <c r="V38" s="7"/>
      <c r="W38" s="7"/>
      <c r="X38" s="7"/>
      <c r="Z38" s="362"/>
    </row>
    <row r="39" spans="1:26">
      <c r="A39" s="325" t="s">
        <v>1388</v>
      </c>
      <c r="B39" s="7"/>
      <c r="C39" s="327" t="s">
        <v>1408</v>
      </c>
      <c r="D39" s="313">
        <f>'10.3 100 кг'!X31</f>
        <v>3605.0871623809735</v>
      </c>
      <c r="E39" s="326"/>
      <c r="F39" s="7"/>
      <c r="G39" s="311">
        <v>10045.249227854431</v>
      </c>
      <c r="H39" s="7"/>
      <c r="I39" s="7"/>
      <c r="J39" s="311">
        <f>('Общая комиссия'!I39+'Общая комиссия'!J39+'Общая комиссия'!K39+'Общая комиссия'!L39+'Общая комиссия'!M39+'Общая комиссия'!P39+'Общая комиссия'!Q39)*1.22</f>
        <v>6013.2393797140166</v>
      </c>
      <c r="K39" s="7"/>
      <c r="L39" s="7"/>
      <c r="M39" s="311">
        <f t="shared" si="9"/>
        <v>4032.0098481404139</v>
      </c>
      <c r="N39" s="328"/>
      <c r="O39" s="328"/>
      <c r="P39" s="299">
        <f t="shared" si="11"/>
        <v>0.11842229231358714</v>
      </c>
      <c r="Q39" s="7"/>
      <c r="R39" s="7"/>
      <c r="S39" s="311">
        <f t="shared" si="3"/>
        <v>10699.852690809283</v>
      </c>
      <c r="T39" s="7"/>
      <c r="U39" s="7"/>
      <c r="V39" s="7"/>
      <c r="W39" s="7"/>
      <c r="X39" s="7"/>
      <c r="Z39" s="362"/>
    </row>
    <row r="40" spans="1:26">
      <c r="A40" s="325" t="s">
        <v>1389</v>
      </c>
      <c r="B40" s="7"/>
      <c r="C40" s="327" t="s">
        <v>1409</v>
      </c>
      <c r="D40" s="313">
        <f>'10.6 100кг'!T31</f>
        <v>5000.8017325265719</v>
      </c>
      <c r="E40" s="326"/>
      <c r="F40" s="7"/>
      <c r="G40" s="311">
        <v>13392.740661965247</v>
      </c>
      <c r="H40" s="7"/>
      <c r="I40" s="7"/>
      <c r="J40" s="311">
        <f>('Общая комиссия'!I40+'Общая комиссия'!J40+'Общая комиссия'!K40+'Общая комиссия'!L40+'Общая комиссия'!M40+'Общая комиссия'!P40+'Общая комиссия'!Q40)*1.22</f>
        <v>7768.5718265831829</v>
      </c>
      <c r="K40" s="7"/>
      <c r="L40" s="7"/>
      <c r="M40" s="311">
        <f t="shared" si="9"/>
        <v>5624.1688353820637</v>
      </c>
      <c r="N40" s="328"/>
      <c r="O40" s="328"/>
      <c r="P40" s="299">
        <f t="shared" si="11"/>
        <v>0.12465343282876873</v>
      </c>
      <c r="Q40" s="7"/>
      <c r="R40" s="7"/>
      <c r="S40" s="311">
        <f t="shared" si="3"/>
        <v>14269.614078867726</v>
      </c>
      <c r="T40" s="7"/>
      <c r="U40" s="7"/>
      <c r="V40" s="7"/>
      <c r="W40" s="7"/>
      <c r="X40" s="7"/>
      <c r="Z40" s="362"/>
    </row>
    <row r="41" spans="1:26">
      <c r="A41" s="325" t="s">
        <v>1390</v>
      </c>
      <c r="B41" s="7"/>
      <c r="C41" s="327" t="s">
        <v>1410</v>
      </c>
      <c r="D41" s="313">
        <f>'10.6 100кг'!T32</f>
        <v>6041.3396227115791</v>
      </c>
      <c r="E41" s="326"/>
      <c r="F41" s="7"/>
      <c r="G41" s="311">
        <v>16486.314128440375</v>
      </c>
      <c r="H41" s="7"/>
      <c r="I41" s="7"/>
      <c r="J41" s="311">
        <f>('Общая комиссия'!I41+'Общая комиссия'!J41+'Общая комиссия'!K41+'Общая комиссия'!L41+'Общая комиссия'!M41+'Общая комиссия'!P41+'Общая комиссия'!Q41)*1.22</f>
        <v>9714.8561004770654</v>
      </c>
      <c r="K41" s="7"/>
      <c r="L41" s="7"/>
      <c r="M41" s="311">
        <f t="shared" si="9"/>
        <v>6771.4580279633101</v>
      </c>
      <c r="N41" s="328"/>
      <c r="O41" s="328"/>
      <c r="P41" s="299">
        <f t="shared" si="11"/>
        <v>0.12085372630052982</v>
      </c>
      <c r="Q41" s="7"/>
      <c r="R41" s="7"/>
      <c r="S41" s="311">
        <f t="shared" si="3"/>
        <v>17568.597610002118</v>
      </c>
      <c r="T41" s="7"/>
      <c r="U41" s="7"/>
      <c r="V41" s="7"/>
      <c r="W41" s="7"/>
      <c r="X41" s="7"/>
      <c r="Z41" s="362"/>
    </row>
  </sheetData>
  <sortState xmlns:xlrd2="http://schemas.microsoft.com/office/spreadsheetml/2017/richdata2" ref="A2:K28">
    <sortCondition ref="A2:A28"/>
  </sortState>
  <mergeCells count="1">
    <mergeCell ref="T2:T35"/>
  </mergeCell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9149C-069B-9443-8744-4716713C798B}">
  <dimension ref="A1:C37"/>
  <sheetViews>
    <sheetView workbookViewId="0">
      <selection activeCell="B36" sqref="B36"/>
    </sheetView>
  </sheetViews>
  <sheetFormatPr baseColWidth="10" defaultRowHeight="16"/>
  <cols>
    <col min="1" max="1" width="31.83203125" bestFit="1" customWidth="1"/>
    <col min="2" max="3" width="11.83203125" bestFit="1" customWidth="1"/>
  </cols>
  <sheetData>
    <row r="1" spans="1:3" ht="30">
      <c r="B1" s="314" t="s">
        <v>1384</v>
      </c>
      <c r="C1" s="296" t="s">
        <v>1360</v>
      </c>
    </row>
    <row r="2" spans="1:3">
      <c r="A2" s="291" t="s">
        <v>102</v>
      </c>
      <c r="B2" s="315">
        <v>907247263</v>
      </c>
      <c r="C2" s="311">
        <f>Калькуляция!G2</f>
        <v>3150.6549033173246</v>
      </c>
    </row>
    <row r="3" spans="1:3">
      <c r="A3" s="291" t="s">
        <v>98</v>
      </c>
      <c r="B3" s="315">
        <v>629880865</v>
      </c>
      <c r="C3" s="311">
        <f>Калькуляция!G3</f>
        <v>5021.8939090171971</v>
      </c>
    </row>
    <row r="4" spans="1:3">
      <c r="A4" s="291" t="s">
        <v>93</v>
      </c>
      <c r="B4" s="315">
        <v>633898130</v>
      </c>
      <c r="C4" s="311">
        <f>Калькуляция!G4</f>
        <v>1473.6112211954605</v>
      </c>
    </row>
    <row r="5" spans="1:3">
      <c r="A5" s="291" t="s">
        <v>95</v>
      </c>
      <c r="B5" s="315">
        <v>629825193</v>
      </c>
      <c r="C5" s="311">
        <f>Калькуляция!G5</f>
        <v>2970.6977950964342</v>
      </c>
    </row>
    <row r="6" spans="1:3">
      <c r="A6" s="291" t="s">
        <v>97</v>
      </c>
      <c r="B6" s="315">
        <v>629844259</v>
      </c>
      <c r="C6" s="311">
        <f>Калькуляция!G6</f>
        <v>3346.6092919168254</v>
      </c>
    </row>
    <row r="7" spans="1:3">
      <c r="A7" s="291" t="s">
        <v>85</v>
      </c>
      <c r="B7" s="315">
        <v>632063202</v>
      </c>
      <c r="C7" s="311">
        <f>Калькуляция!G7</f>
        <v>5571.1092274013663</v>
      </c>
    </row>
    <row r="8" spans="1:3">
      <c r="A8" s="291" t="s">
        <v>87</v>
      </c>
      <c r="B8" s="315">
        <v>631939684</v>
      </c>
      <c r="C8" s="311">
        <f>Калькуляция!G8</f>
        <v>6357.0714611332514</v>
      </c>
    </row>
    <row r="9" spans="1:3">
      <c r="A9" s="291" t="s">
        <v>89</v>
      </c>
      <c r="B9" s="315">
        <v>631949713</v>
      </c>
      <c r="C9" s="311">
        <f>Калькуляция!G9</f>
        <v>7108.2937745467088</v>
      </c>
    </row>
    <row r="10" spans="1:3">
      <c r="A10" s="291" t="s">
        <v>91</v>
      </c>
      <c r="B10" s="315">
        <v>631946118</v>
      </c>
      <c r="C10" s="311">
        <f>Калькуляция!G10</f>
        <v>9720.9656562909822</v>
      </c>
    </row>
    <row r="11" spans="1:3">
      <c r="A11" s="291" t="s">
        <v>104</v>
      </c>
      <c r="B11" s="315">
        <v>1667684227</v>
      </c>
      <c r="C11" s="311">
        <f>Калькуляция!G11</f>
        <v>5228.0185521885642</v>
      </c>
    </row>
    <row r="12" spans="1:3">
      <c r="A12" s="291" t="s">
        <v>106</v>
      </c>
      <c r="B12" s="315">
        <v>1667684137</v>
      </c>
      <c r="C12" s="311">
        <f>Калькуляция!G12</f>
        <v>6070.7009183148602</v>
      </c>
    </row>
    <row r="13" spans="1:3">
      <c r="A13" s="291" t="s">
        <v>107</v>
      </c>
      <c r="B13" s="315">
        <v>1672231528</v>
      </c>
      <c r="C13" s="311">
        <f>Калькуляция!G13</f>
        <v>7876.5144223216003</v>
      </c>
    </row>
    <row r="14" spans="1:3">
      <c r="A14" s="291" t="s">
        <v>109</v>
      </c>
      <c r="B14" s="315">
        <v>1672231536</v>
      </c>
      <c r="C14" s="311">
        <f>Калькуляция!G14</f>
        <v>8400.6910111474099</v>
      </c>
    </row>
    <row r="15" spans="1:3">
      <c r="A15" s="291" t="s">
        <v>110</v>
      </c>
      <c r="B15" s="315">
        <v>1672261347</v>
      </c>
      <c r="C15" s="311">
        <f>Калькуляция!G15</f>
        <v>6210.5942512098909</v>
      </c>
    </row>
    <row r="16" spans="1:3">
      <c r="A16" s="291" t="s">
        <v>112</v>
      </c>
      <c r="B16" s="315">
        <v>1672260987</v>
      </c>
      <c r="C16" s="311">
        <f>Калькуляция!G16</f>
        <v>7118.8028806119564</v>
      </c>
    </row>
    <row r="17" spans="1:3">
      <c r="A17" s="305" t="s">
        <v>113</v>
      </c>
      <c r="B17" s="315">
        <v>1706788520</v>
      </c>
      <c r="C17" s="311">
        <f>Калькуляция!G17</f>
        <v>7857.7939494569164</v>
      </c>
    </row>
    <row r="18" spans="1:3">
      <c r="A18" s="305" t="s">
        <v>115</v>
      </c>
      <c r="B18" s="315">
        <v>1706788784</v>
      </c>
      <c r="C18" s="311">
        <f>Калькуляция!G18</f>
        <v>9029.5735445059508</v>
      </c>
    </row>
    <row r="19" spans="1:3">
      <c r="A19" s="305" t="s">
        <v>116</v>
      </c>
      <c r="B19" s="315">
        <v>1672277739</v>
      </c>
      <c r="C19" s="311">
        <f>Калькуляция!G19</f>
        <v>10051.773696289578</v>
      </c>
    </row>
    <row r="20" spans="1:3">
      <c r="A20" s="305" t="s">
        <v>118</v>
      </c>
      <c r="B20" s="315">
        <v>1672277747</v>
      </c>
      <c r="C20" s="311">
        <f>Калькуляция!G20</f>
        <v>10990.417939072056</v>
      </c>
    </row>
    <row r="21" spans="1:3">
      <c r="A21" s="305" t="s">
        <v>1299</v>
      </c>
      <c r="B21" s="315">
        <v>258467589</v>
      </c>
      <c r="C21" s="311">
        <f>Калькуляция!G21</f>
        <v>8092.111264509228</v>
      </c>
    </row>
    <row r="22" spans="1:3">
      <c r="A22" s="305" t="s">
        <v>1299</v>
      </c>
      <c r="B22" s="315">
        <v>258473499</v>
      </c>
      <c r="C22" s="311">
        <f>Калькуляция!G22</f>
        <v>9158.6903438093887</v>
      </c>
    </row>
    <row r="23" spans="1:3">
      <c r="A23" s="291" t="s">
        <v>1299</v>
      </c>
      <c r="B23" s="315">
        <v>888213183</v>
      </c>
      <c r="C23" s="311">
        <f>Калькуляция!G23</f>
        <v>10813.344558666276</v>
      </c>
    </row>
    <row r="24" spans="1:3">
      <c r="A24" s="291" t="s">
        <v>99</v>
      </c>
      <c r="B24" s="315">
        <v>906309058</v>
      </c>
      <c r="C24" s="311">
        <f>Калькуляция!G24</f>
        <v>10095.598706444609</v>
      </c>
    </row>
    <row r="25" spans="1:3">
      <c r="A25" s="291" t="s">
        <v>101</v>
      </c>
      <c r="B25" s="315">
        <v>906309023</v>
      </c>
      <c r="C25" s="311">
        <f>Калькуляция!G25</f>
        <v>10508.706845397048</v>
      </c>
    </row>
    <row r="26" spans="1:3">
      <c r="A26" s="290" t="s">
        <v>119</v>
      </c>
      <c r="B26" s="315">
        <v>2948118892</v>
      </c>
      <c r="C26" s="311">
        <f>Калькуляция!G26</f>
        <v>36915.343795460452</v>
      </c>
    </row>
    <row r="27" spans="1:3">
      <c r="A27" s="290" t="s">
        <v>121</v>
      </c>
      <c r="B27" s="315">
        <v>2806318479</v>
      </c>
      <c r="C27" s="311">
        <f>Калькуляция!G27</f>
        <v>39087.307959978636</v>
      </c>
    </row>
    <row r="28" spans="1:3">
      <c r="A28" s="291" t="s">
        <v>84</v>
      </c>
      <c r="B28" s="315">
        <v>3558967942</v>
      </c>
      <c r="C28" s="311">
        <f>Калькуляция!G28</f>
        <v>7582.9584619550451</v>
      </c>
    </row>
    <row r="29" spans="1:3">
      <c r="A29" s="291" t="s">
        <v>84</v>
      </c>
      <c r="B29" s="315">
        <v>3558953998</v>
      </c>
      <c r="C29" s="311">
        <f>Калькуляция!G29</f>
        <v>8661.1933455613707</v>
      </c>
    </row>
    <row r="30" spans="1:3">
      <c r="A30" s="291" t="s">
        <v>84</v>
      </c>
      <c r="B30" s="315">
        <v>3558882434</v>
      </c>
      <c r="C30" s="311">
        <f>Калькуляция!G30</f>
        <v>10313.474883567389</v>
      </c>
    </row>
    <row r="31" spans="1:3">
      <c r="A31" s="291" t="s">
        <v>1314</v>
      </c>
      <c r="B31" s="315">
        <v>3541466873</v>
      </c>
      <c r="C31" s="311">
        <f>Калькуляция!G31</f>
        <v>48638.865405674427</v>
      </c>
    </row>
    <row r="32" spans="1:3">
      <c r="A32" s="291" t="s">
        <v>1315</v>
      </c>
      <c r="B32" s="315">
        <v>3541430418</v>
      </c>
      <c r="C32" s="311">
        <f>Калькуляция!G32</f>
        <v>19031.024795003959</v>
      </c>
    </row>
    <row r="33" spans="1:3">
      <c r="A33" s="291" t="s">
        <v>1316</v>
      </c>
      <c r="B33" s="315">
        <v>3541476893</v>
      </c>
      <c r="C33" s="311">
        <f>Калькуляция!G33</f>
        <v>12479.678020743502</v>
      </c>
    </row>
    <row r="34" spans="1:3">
      <c r="A34" s="291" t="s">
        <v>1317</v>
      </c>
      <c r="B34" s="315">
        <v>3541448015</v>
      </c>
      <c r="C34" s="311">
        <f>Калькуляция!G34</f>
        <v>12170.555646083911</v>
      </c>
    </row>
    <row r="35" spans="1:3">
      <c r="A35" s="291" t="s">
        <v>1318</v>
      </c>
      <c r="B35" s="315">
        <v>3541452420</v>
      </c>
      <c r="C35" s="311">
        <f>Калькуляция!G35</f>
        <v>23059.341362325151</v>
      </c>
    </row>
    <row r="36" spans="1:3">
      <c r="A36" s="316" t="s">
        <v>1385</v>
      </c>
    </row>
    <row r="37" spans="1:3">
      <c r="A37" s="316" t="s">
        <v>1386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1"/>
  <sheetViews>
    <sheetView zoomScale="110" zoomScaleNormal="110" workbookViewId="0">
      <selection activeCell="S39" sqref="S39"/>
    </sheetView>
  </sheetViews>
  <sheetFormatPr baseColWidth="10" defaultColWidth="11" defaultRowHeight="16"/>
  <cols>
    <col min="1" max="1" width="35.1640625" style="292" bestFit="1" customWidth="1"/>
    <col min="2" max="3" width="16.6640625" hidden="1" customWidth="1"/>
    <col min="4" max="4" width="17.33203125" bestFit="1" customWidth="1"/>
    <col min="5" max="5" width="8.6640625" bestFit="1" customWidth="1"/>
    <col min="6" max="6" width="22.83203125" bestFit="1" customWidth="1"/>
    <col min="7" max="7" width="14.6640625" hidden="1" customWidth="1"/>
    <col min="8" max="8" width="14.5" hidden="1" customWidth="1"/>
    <col min="9" max="9" width="15.5" bestFit="1" customWidth="1"/>
    <col min="12" max="12" width="14" style="293" bestFit="1" customWidth="1"/>
    <col min="13" max="13" width="13.5" style="293" bestFit="1" customWidth="1"/>
    <col min="14" max="14" width="14.6640625" style="293" hidden="1" customWidth="1"/>
    <col min="15" max="15" width="11.6640625" hidden="1" customWidth="1"/>
    <col min="16" max="16" width="11.1640625" bestFit="1" customWidth="1"/>
  </cols>
  <sheetData>
    <row r="1" spans="1:17" ht="46" customHeight="1">
      <c r="A1" s="289" t="s">
        <v>0</v>
      </c>
      <c r="B1" s="19" t="s">
        <v>1374</v>
      </c>
      <c r="C1" s="294" t="s">
        <v>1375</v>
      </c>
      <c r="D1" s="296" t="s">
        <v>1376</v>
      </c>
      <c r="E1" s="7" t="s">
        <v>1</v>
      </c>
      <c r="F1" s="279" t="s">
        <v>1234</v>
      </c>
      <c r="G1" s="19" t="s">
        <v>1379</v>
      </c>
      <c r="H1" s="294" t="s">
        <v>1377</v>
      </c>
      <c r="I1" s="296" t="s">
        <v>1378</v>
      </c>
      <c r="J1" s="157" t="s">
        <v>1230</v>
      </c>
      <c r="K1" s="157" t="s">
        <v>1231</v>
      </c>
      <c r="L1" s="157" t="s">
        <v>1232</v>
      </c>
      <c r="M1" s="280" t="s">
        <v>71</v>
      </c>
      <c r="N1" s="19" t="s">
        <v>1356</v>
      </c>
      <c r="O1" s="294" t="s">
        <v>1357</v>
      </c>
      <c r="P1" s="296" t="s">
        <v>1358</v>
      </c>
      <c r="Q1" s="157" t="s">
        <v>1236</v>
      </c>
    </row>
    <row r="2" spans="1:17">
      <c r="A2" s="289" t="s">
        <v>39</v>
      </c>
      <c r="B2" s="285">
        <f>Калькуляция!E2</f>
        <v>2620.3757607158068</v>
      </c>
      <c r="C2" s="154">
        <f>Калькуляция!F2</f>
        <v>2859.3716399642781</v>
      </c>
      <c r="D2" s="154">
        <f>Калькуляция!G2</f>
        <v>3150.6549033173246</v>
      </c>
      <c r="E2" s="7">
        <v>23</v>
      </c>
      <c r="F2" s="284">
        <v>0.44</v>
      </c>
      <c r="G2" s="300">
        <f t="shared" ref="G2:G37" si="0">B2*F2</f>
        <v>1152.9653347149549</v>
      </c>
      <c r="H2" s="301">
        <f>C2*F2</f>
        <v>1258.1235215842823</v>
      </c>
      <c r="I2" s="301">
        <f>D2*F2</f>
        <v>1386.2881574596229</v>
      </c>
      <c r="J2" s="285">
        <f t="shared" ref="J2:J41" si="1">1.9*E2</f>
        <v>43.699999999999996</v>
      </c>
      <c r="K2" s="285">
        <v>20</v>
      </c>
      <c r="L2" s="285">
        <v>25</v>
      </c>
      <c r="M2" s="285">
        <v>15</v>
      </c>
      <c r="N2" s="285">
        <f>'Тарифы логистика 20-25л'!D11*1.15</f>
        <v>295.54999999999995</v>
      </c>
      <c r="O2" s="285">
        <f>'Тарифы логистика 20-25л'!D21*1.15</f>
        <v>386.4</v>
      </c>
      <c r="P2" s="285">
        <f>'Тарифы логистика 20-25л'!D30*1.15</f>
        <v>630.19999999999993</v>
      </c>
      <c r="Q2" s="7">
        <f t="shared" ref="Q2:Q41" si="2">B2*0.01</f>
        <v>26.203757607158067</v>
      </c>
    </row>
    <row r="3" spans="1:17">
      <c r="A3" s="289" t="s">
        <v>47</v>
      </c>
      <c r="B3" s="285">
        <f>Калькуляция!E3</f>
        <v>5069.8173922505985</v>
      </c>
      <c r="C3" s="154">
        <f>Калькуляция!F3</f>
        <v>5175.9580294741036</v>
      </c>
      <c r="D3" s="154">
        <f>Калькуляция!G3</f>
        <v>5021.8939090171971</v>
      </c>
      <c r="E3" s="7">
        <v>13</v>
      </c>
      <c r="F3" s="284">
        <v>0.43</v>
      </c>
      <c r="G3" s="300">
        <f t="shared" si="0"/>
        <v>2180.0214786677575</v>
      </c>
      <c r="H3" s="301">
        <f t="shared" ref="H3:H37" si="3">C3*F3</f>
        <v>2225.6619526738646</v>
      </c>
      <c r="I3" s="301">
        <f t="shared" ref="I3:I41" si="4">D3*F3</f>
        <v>2159.4143808773947</v>
      </c>
      <c r="J3" s="285">
        <f t="shared" si="1"/>
        <v>24.7</v>
      </c>
      <c r="K3" s="285">
        <v>20</v>
      </c>
      <c r="L3" s="285">
        <v>25</v>
      </c>
      <c r="M3" s="285">
        <v>15</v>
      </c>
      <c r="N3" s="285">
        <f>'Тарифы логистика 13-14л '!D12*1.15</f>
        <v>211.6</v>
      </c>
      <c r="O3" s="285">
        <f>'Тарифы логистика 13-14л '!D21*1.15</f>
        <v>252.99999999999997</v>
      </c>
      <c r="P3" s="285">
        <f>'Тарифы логистика 13-14л '!D30*1.15</f>
        <v>410.54999999999995</v>
      </c>
      <c r="Q3" s="7">
        <f t="shared" si="2"/>
        <v>50.698173922505987</v>
      </c>
    </row>
    <row r="4" spans="1:17">
      <c r="A4" s="289" t="s">
        <v>42</v>
      </c>
      <c r="B4" s="285">
        <f>Калькуляция!E4</f>
        <v>1330.7172937937194</v>
      </c>
      <c r="C4" s="154">
        <f>Калькуляция!F4</f>
        <v>1422.1161758472931</v>
      </c>
      <c r="D4" s="154">
        <f>Калькуляция!G4</f>
        <v>1473.6112211954605</v>
      </c>
      <c r="E4" s="7">
        <v>3</v>
      </c>
      <c r="F4" s="284">
        <v>0.43</v>
      </c>
      <c r="G4" s="300">
        <f t="shared" si="0"/>
        <v>572.20843633129937</v>
      </c>
      <c r="H4" s="301">
        <f t="shared" si="3"/>
        <v>611.50995561433604</v>
      </c>
      <c r="I4" s="301">
        <f t="shared" si="4"/>
        <v>633.65282511404803</v>
      </c>
      <c r="J4" s="285">
        <f t="shared" si="1"/>
        <v>5.6999999999999993</v>
      </c>
      <c r="K4" s="285">
        <v>20</v>
      </c>
      <c r="L4" s="285">
        <v>25</v>
      </c>
      <c r="M4" s="285">
        <v>15</v>
      </c>
      <c r="N4" s="285">
        <f>'Тарифы логистика 3-4л'!D13*1.15</f>
        <v>117.3</v>
      </c>
      <c r="O4" s="285">
        <f>'Тарифы логистика 3-4л'!D22*1.15</f>
        <v>152.94999999999999</v>
      </c>
      <c r="P4" s="285">
        <f>'Тарифы логистика 3-4л'!D31*1.15</f>
        <v>236.89999999999998</v>
      </c>
      <c r="Q4" s="7">
        <f t="shared" si="2"/>
        <v>13.307172937937194</v>
      </c>
    </row>
    <row r="5" spans="1:17">
      <c r="A5" s="289" t="s">
        <v>49</v>
      </c>
      <c r="B5" s="285">
        <f>Калькуляция!E5</f>
        <v>2790.7105990053051</v>
      </c>
      <c r="C5" s="154">
        <f>Калькуляция!F5</f>
        <v>2896.8512362288106</v>
      </c>
      <c r="D5" s="154">
        <f>Калькуляция!G5</f>
        <v>2970.6977950964342</v>
      </c>
      <c r="E5" s="7">
        <v>13</v>
      </c>
      <c r="F5" s="284">
        <v>0.43</v>
      </c>
      <c r="G5" s="300">
        <f t="shared" si="0"/>
        <v>1200.0055575722811</v>
      </c>
      <c r="H5" s="301">
        <f t="shared" si="3"/>
        <v>1245.6460315783886</v>
      </c>
      <c r="I5" s="301">
        <f t="shared" si="4"/>
        <v>1277.4000518914668</v>
      </c>
      <c r="J5" s="285">
        <f t="shared" si="1"/>
        <v>24.7</v>
      </c>
      <c r="K5" s="285">
        <v>20</v>
      </c>
      <c r="L5" s="285">
        <v>25</v>
      </c>
      <c r="M5" s="285">
        <v>15</v>
      </c>
      <c r="N5" s="285">
        <v>211.6</v>
      </c>
      <c r="O5" s="285">
        <v>252.99999999999997</v>
      </c>
      <c r="P5" s="285">
        <v>410.54999999999995</v>
      </c>
      <c r="Q5" s="7">
        <f t="shared" si="2"/>
        <v>27.907105990053051</v>
      </c>
    </row>
    <row r="6" spans="1:17">
      <c r="A6" s="289" t="s">
        <v>48</v>
      </c>
      <c r="B6" s="285">
        <f>Калькуляция!E6</f>
        <v>3196.596635780907</v>
      </c>
      <c r="C6" s="154">
        <f>Калькуляция!F6</f>
        <v>3287.9955178344803</v>
      </c>
      <c r="D6" s="154">
        <f>Калькуляция!G6</f>
        <v>3346.6092919168254</v>
      </c>
      <c r="E6" s="7">
        <v>14</v>
      </c>
      <c r="F6" s="284">
        <v>0.43</v>
      </c>
      <c r="G6" s="300">
        <f t="shared" si="0"/>
        <v>1374.5365533857901</v>
      </c>
      <c r="H6" s="301">
        <f t="shared" si="3"/>
        <v>1413.8380726688265</v>
      </c>
      <c r="I6" s="301">
        <f t="shared" si="4"/>
        <v>1439.0419955242348</v>
      </c>
      <c r="J6" s="285">
        <f t="shared" si="1"/>
        <v>26.599999999999998</v>
      </c>
      <c r="K6" s="285">
        <v>20</v>
      </c>
      <c r="L6" s="285">
        <v>25</v>
      </c>
      <c r="M6" s="285">
        <v>15</v>
      </c>
      <c r="N6" s="285">
        <f>'Тарифы логистика 14-15л'!D12*1.15</f>
        <v>221.95</v>
      </c>
      <c r="O6" s="285">
        <f>'Тарифы логистика 14-15л'!D21*1.15</f>
        <v>257.59999999999997</v>
      </c>
      <c r="P6" s="285">
        <f>'Тарифы логистика 14-15л'!D30*1.15</f>
        <v>425.49999999999994</v>
      </c>
      <c r="Q6" s="7">
        <f t="shared" si="2"/>
        <v>31.965966357809069</v>
      </c>
    </row>
    <row r="7" spans="1:17">
      <c r="A7" s="289" t="s">
        <v>1268</v>
      </c>
      <c r="B7" s="285">
        <f>Калькуляция!E7</f>
        <v>4755.073077530782</v>
      </c>
      <c r="C7" s="154">
        <f>Калькуляция!F7</f>
        <v>5037.7341036100352</v>
      </c>
      <c r="D7" s="154">
        <f>Калькуляция!G7</f>
        <v>5571.1092274013663</v>
      </c>
      <c r="E7" s="7">
        <v>38</v>
      </c>
      <c r="F7" s="284">
        <v>0.44999999999999996</v>
      </c>
      <c r="G7" s="300">
        <f t="shared" si="0"/>
        <v>2139.7828848888516</v>
      </c>
      <c r="H7" s="301">
        <f t="shared" si="3"/>
        <v>2266.9803466245157</v>
      </c>
      <c r="I7" s="301">
        <f t="shared" si="4"/>
        <v>2506.9991523306144</v>
      </c>
      <c r="J7" s="285">
        <f t="shared" si="1"/>
        <v>72.2</v>
      </c>
      <c r="K7" s="285">
        <v>20</v>
      </c>
      <c r="L7" s="285">
        <v>25</v>
      </c>
      <c r="M7" s="285">
        <v>15</v>
      </c>
      <c r="N7" s="285">
        <v>479.54999999999995</v>
      </c>
      <c r="O7" s="285">
        <v>584.19999999999993</v>
      </c>
      <c r="P7" s="285">
        <v>1010.8499999999999</v>
      </c>
      <c r="Q7" s="7">
        <f t="shared" si="2"/>
        <v>47.550730775307819</v>
      </c>
    </row>
    <row r="8" spans="1:17">
      <c r="A8" s="289" t="s">
        <v>1269</v>
      </c>
      <c r="B8" s="285">
        <f>Калькуляция!E8</f>
        <v>5538.2856598132375</v>
      </c>
      <c r="C8" s="154">
        <f>Калькуляция!F8</f>
        <v>5814.7343556489914</v>
      </c>
      <c r="D8" s="154">
        <f>Калькуляция!G8</f>
        <v>6357.0714611332514</v>
      </c>
      <c r="E8" s="7">
        <v>45</v>
      </c>
      <c r="F8" s="284">
        <v>0.44999999999999996</v>
      </c>
      <c r="G8" s="300">
        <f t="shared" si="0"/>
        <v>2492.2285469159565</v>
      </c>
      <c r="H8" s="301">
        <f t="shared" si="3"/>
        <v>2616.6304600420458</v>
      </c>
      <c r="I8" s="301">
        <f t="shared" si="4"/>
        <v>2860.682157509963</v>
      </c>
      <c r="J8" s="285">
        <f t="shared" si="1"/>
        <v>85.5</v>
      </c>
      <c r="K8" s="285">
        <v>20</v>
      </c>
      <c r="L8" s="285">
        <v>25</v>
      </c>
      <c r="M8" s="285">
        <v>15</v>
      </c>
      <c r="N8" s="285">
        <f>'Тарифы логистика 40-45л'!D12*1.15</f>
        <v>549.69999999999993</v>
      </c>
      <c r="O8" s="285">
        <f>'Тарифы логистика 40-45л'!D21*1.15</f>
        <v>652.04999999999995</v>
      </c>
      <c r="P8" s="285">
        <f>'Тарифы логистика 40-45л'!D30*1.15</f>
        <v>1114.3499999999999</v>
      </c>
      <c r="Q8" s="7">
        <f t="shared" si="2"/>
        <v>55.382856598132378</v>
      </c>
    </row>
    <row r="9" spans="1:17">
      <c r="A9" s="289" t="s">
        <v>1270</v>
      </c>
      <c r="B9" s="285">
        <f>Калькуляция!E9</f>
        <v>6006.4496347950217</v>
      </c>
      <c r="C9" s="154">
        <f>Калькуляция!F9</f>
        <v>6369.8709540397758</v>
      </c>
      <c r="D9" s="154">
        <f>Калькуляция!G9</f>
        <v>7108.2937745467088</v>
      </c>
      <c r="E9" s="7">
        <v>50</v>
      </c>
      <c r="F9" s="284">
        <v>0.44999999999999996</v>
      </c>
      <c r="G9" s="300">
        <f t="shared" si="0"/>
        <v>2702.9023356577595</v>
      </c>
      <c r="H9" s="301">
        <f t="shared" si="3"/>
        <v>2866.4419293178989</v>
      </c>
      <c r="I9" s="301">
        <f t="shared" si="4"/>
        <v>3198.7321985460185</v>
      </c>
      <c r="J9" s="285">
        <f t="shared" si="1"/>
        <v>95</v>
      </c>
      <c r="K9" s="285">
        <v>20</v>
      </c>
      <c r="L9" s="285">
        <v>25</v>
      </c>
      <c r="M9" s="285">
        <v>15</v>
      </c>
      <c r="N9" s="285">
        <f>'Тарифы логистика 50-60л'!D12*1.15</f>
        <v>654.34999999999991</v>
      </c>
      <c r="O9" s="285">
        <f>'Тарифы логистика 50-60л'!D21*1.15</f>
        <v>788.9</v>
      </c>
      <c r="P9" s="285">
        <f>'Тарифы логистика 50-60л'!D30*1.15</f>
        <v>1354.6999999999998</v>
      </c>
      <c r="Q9" s="7">
        <f t="shared" si="2"/>
        <v>60.064496347950218</v>
      </c>
    </row>
    <row r="10" spans="1:17">
      <c r="A10" s="289" t="s">
        <v>1271</v>
      </c>
      <c r="B10" s="285">
        <f>Калькуляция!E10</f>
        <v>7836.3058680527556</v>
      </c>
      <c r="C10" s="154">
        <f>Калькуляция!F10</f>
        <v>8561.5278986526555</v>
      </c>
      <c r="D10" s="154">
        <f>Калькуляция!G10</f>
        <v>9720.9656562909822</v>
      </c>
      <c r="E10" s="7">
        <v>72</v>
      </c>
      <c r="F10" s="284">
        <v>0.44999999999999996</v>
      </c>
      <c r="G10" s="300">
        <f t="shared" si="0"/>
        <v>3526.3376406237398</v>
      </c>
      <c r="H10" s="301">
        <f t="shared" si="3"/>
        <v>3852.6875543936944</v>
      </c>
      <c r="I10" s="301">
        <f t="shared" si="4"/>
        <v>4374.4345453309415</v>
      </c>
      <c r="J10" s="285">
        <f t="shared" si="1"/>
        <v>136.79999999999998</v>
      </c>
      <c r="K10" s="285">
        <v>20</v>
      </c>
      <c r="L10" s="285">
        <v>25</v>
      </c>
      <c r="M10" s="285">
        <v>15</v>
      </c>
      <c r="N10" s="285">
        <f>'Тарифы логистика 70-80л'!D12</f>
        <v>732</v>
      </c>
      <c r="O10" s="285">
        <f>'Тарифы логистика 70-80л'!D21*1.15</f>
        <v>1000.4999999999999</v>
      </c>
      <c r="P10" s="285">
        <f>'Тарифы логистика 70-80л'!D30*1.15</f>
        <v>1829.6499999999999</v>
      </c>
      <c r="Q10" s="7">
        <f t="shared" si="2"/>
        <v>78.363058680527558</v>
      </c>
    </row>
    <row r="11" spans="1:17">
      <c r="A11" s="289" t="s">
        <v>37</v>
      </c>
      <c r="B11" s="285">
        <f>Калькуляция!E11</f>
        <v>5324.1189964111436</v>
      </c>
      <c r="C11" s="154">
        <f>Калькуляция!F11</f>
        <v>5409.0258082000601</v>
      </c>
      <c r="D11" s="154">
        <f>Калькуляция!G11</f>
        <v>5228.0185521885642</v>
      </c>
      <c r="E11" s="7">
        <v>14</v>
      </c>
      <c r="F11" s="284">
        <v>0.39999999999999997</v>
      </c>
      <c r="G11" s="300">
        <f t="shared" si="0"/>
        <v>2129.6475985644574</v>
      </c>
      <c r="H11" s="301">
        <f t="shared" si="3"/>
        <v>2163.6103232800237</v>
      </c>
      <c r="I11" s="301">
        <f t="shared" si="4"/>
        <v>2091.2074208754257</v>
      </c>
      <c r="J11" s="285">
        <f t="shared" si="1"/>
        <v>26.599999999999998</v>
      </c>
      <c r="K11" s="285">
        <v>20</v>
      </c>
      <c r="L11" s="285">
        <v>25</v>
      </c>
      <c r="M11" s="285">
        <v>15</v>
      </c>
      <c r="N11" s="285">
        <v>221.95</v>
      </c>
      <c r="O11" s="285">
        <v>257.59999999999997</v>
      </c>
      <c r="P11" s="285">
        <v>425.49999999999994</v>
      </c>
      <c r="Q11" s="7">
        <f t="shared" si="2"/>
        <v>53.241189964111435</v>
      </c>
    </row>
    <row r="12" spans="1:17">
      <c r="A12" s="289" t="s">
        <v>38</v>
      </c>
      <c r="B12" s="285">
        <f>Калькуляция!E12</f>
        <v>6260.4327365514728</v>
      </c>
      <c r="C12" s="154">
        <f>Калькуляция!F12</f>
        <v>6345.3395483403892</v>
      </c>
      <c r="D12" s="154">
        <f>Калькуляция!G12</f>
        <v>6070.7009183148602</v>
      </c>
      <c r="E12" s="7">
        <v>14</v>
      </c>
      <c r="F12" s="284">
        <v>0.39999999999999997</v>
      </c>
      <c r="G12" s="300">
        <f t="shared" si="0"/>
        <v>2504.1730946205889</v>
      </c>
      <c r="H12" s="301">
        <f t="shared" si="3"/>
        <v>2538.1358193361557</v>
      </c>
      <c r="I12" s="301">
        <f t="shared" si="4"/>
        <v>2428.2803673259441</v>
      </c>
      <c r="J12" s="285">
        <f t="shared" si="1"/>
        <v>26.599999999999998</v>
      </c>
      <c r="K12" s="285">
        <v>20</v>
      </c>
      <c r="L12" s="285">
        <v>25</v>
      </c>
      <c r="M12" s="285">
        <v>15</v>
      </c>
      <c r="N12" s="285">
        <v>221.95</v>
      </c>
      <c r="O12" s="285">
        <v>257.59999999999997</v>
      </c>
      <c r="P12" s="285">
        <v>425.49999999999994</v>
      </c>
      <c r="Q12" s="7">
        <f t="shared" si="2"/>
        <v>62.604327365514727</v>
      </c>
    </row>
    <row r="13" spans="1:17">
      <c r="A13" s="289" t="s">
        <v>36</v>
      </c>
      <c r="B13" s="285">
        <f>Калькуляция!E13</f>
        <v>7486.2973028723191</v>
      </c>
      <c r="C13" s="154">
        <f>Калькуляция!F13</f>
        <v>7735.5398794139801</v>
      </c>
      <c r="D13" s="154">
        <f>Калькуляция!G13</f>
        <v>7876.5144223216003</v>
      </c>
      <c r="E13" s="7">
        <v>35</v>
      </c>
      <c r="F13" s="284">
        <v>0.39999999999999997</v>
      </c>
      <c r="G13" s="300">
        <f t="shared" si="0"/>
        <v>2994.5189211489273</v>
      </c>
      <c r="H13" s="301">
        <f t="shared" si="3"/>
        <v>3094.2159517655919</v>
      </c>
      <c r="I13" s="301">
        <f t="shared" si="4"/>
        <v>3150.6057689286399</v>
      </c>
      <c r="J13" s="285">
        <f t="shared" si="1"/>
        <v>66.5</v>
      </c>
      <c r="K13" s="285">
        <v>20</v>
      </c>
      <c r="L13" s="285">
        <v>25</v>
      </c>
      <c r="M13" s="285">
        <v>15</v>
      </c>
      <c r="N13" s="285">
        <f>'Тарифы логистика 35-40л'!D12*1.15</f>
        <v>479.54999999999995</v>
      </c>
      <c r="O13" s="285">
        <f>'Тарифы логистика 35-40л'!D21*1.15</f>
        <v>584.19999999999993</v>
      </c>
      <c r="P13" s="285">
        <f>'Тарифы логистика 35-40л'!D30*1.15</f>
        <v>1010.8499999999999</v>
      </c>
      <c r="Q13" s="7">
        <f t="shared" si="2"/>
        <v>74.862973028723189</v>
      </c>
    </row>
    <row r="14" spans="1:17">
      <c r="A14" s="289" t="s">
        <v>35</v>
      </c>
      <c r="B14" s="285">
        <f>Калькуляция!E14</f>
        <v>8274.1354408419247</v>
      </c>
      <c r="C14" s="154">
        <f>Калькуляция!F14</f>
        <v>8460.3826408950335</v>
      </c>
      <c r="D14" s="154">
        <f>Калькуляция!G14</f>
        <v>8400.6910111474099</v>
      </c>
      <c r="E14" s="7">
        <v>34</v>
      </c>
      <c r="F14" s="284">
        <v>0.39999999999999997</v>
      </c>
      <c r="G14" s="300">
        <f t="shared" si="0"/>
        <v>3309.6541763367695</v>
      </c>
      <c r="H14" s="301">
        <f t="shared" si="3"/>
        <v>3384.1530563580131</v>
      </c>
      <c r="I14" s="301">
        <f t="shared" si="4"/>
        <v>3360.2764044589635</v>
      </c>
      <c r="J14" s="285">
        <f t="shared" si="1"/>
        <v>64.599999999999994</v>
      </c>
      <c r="K14" s="285">
        <v>20</v>
      </c>
      <c r="L14" s="285">
        <v>25</v>
      </c>
      <c r="M14" s="285">
        <v>15</v>
      </c>
      <c r="N14" s="285">
        <f>'Тарифы логистика 30-35л'!D12*1.15</f>
        <v>428.95</v>
      </c>
      <c r="O14" s="285">
        <f>'Тарифы логистика 30-35л'!D21*1.15</f>
        <v>507.15</v>
      </c>
      <c r="P14" s="285">
        <f>'Тарифы логистика 30-35л'!D30*1.15</f>
        <v>873.99999999999989</v>
      </c>
      <c r="Q14" s="7">
        <f t="shared" si="2"/>
        <v>82.741354408419255</v>
      </c>
    </row>
    <row r="15" spans="1:17">
      <c r="A15" s="289" t="s">
        <v>33</v>
      </c>
      <c r="B15" s="285">
        <f>Калькуляция!E15</f>
        <v>6103.631820071294</v>
      </c>
      <c r="C15" s="154">
        <f>Калькуляция!F15</f>
        <v>6320.0072436624068</v>
      </c>
      <c r="D15" s="154">
        <f>Калькуляция!G15</f>
        <v>6210.5942512098909</v>
      </c>
      <c r="E15" s="7">
        <v>24</v>
      </c>
      <c r="F15" s="284">
        <v>0.39999999999999997</v>
      </c>
      <c r="G15" s="300">
        <f t="shared" si="0"/>
        <v>2441.4527280285174</v>
      </c>
      <c r="H15" s="301">
        <f t="shared" si="3"/>
        <v>2528.0028974649626</v>
      </c>
      <c r="I15" s="301">
        <f t="shared" si="4"/>
        <v>2484.2377004839564</v>
      </c>
      <c r="J15" s="285">
        <f t="shared" si="1"/>
        <v>45.599999999999994</v>
      </c>
      <c r="K15" s="285">
        <v>20</v>
      </c>
      <c r="L15" s="285">
        <v>25</v>
      </c>
      <c r="M15" s="285">
        <v>15</v>
      </c>
      <c r="N15" s="285">
        <v>295.54999999999995</v>
      </c>
      <c r="O15" s="285">
        <v>386.4</v>
      </c>
      <c r="P15" s="285">
        <v>630.19999999999993</v>
      </c>
      <c r="Q15" s="7">
        <f t="shared" si="2"/>
        <v>61.036318200712941</v>
      </c>
    </row>
    <row r="16" spans="1:17">
      <c r="A16" s="289" t="s">
        <v>34</v>
      </c>
      <c r="B16" s="285">
        <f>Калькуляция!E16</f>
        <v>7112.7525194069231</v>
      </c>
      <c r="C16" s="154">
        <f>Калькуляция!F16</f>
        <v>7329.1279429980359</v>
      </c>
      <c r="D16" s="154">
        <f>Калькуляция!G16</f>
        <v>7118.8028806119564</v>
      </c>
      <c r="E16" s="7">
        <v>24</v>
      </c>
      <c r="F16" s="284">
        <v>0.39999999999999997</v>
      </c>
      <c r="G16" s="300">
        <f t="shared" si="0"/>
        <v>2845.1010077627689</v>
      </c>
      <c r="H16" s="301">
        <f t="shared" si="3"/>
        <v>2931.6511771992141</v>
      </c>
      <c r="I16" s="301">
        <f t="shared" si="4"/>
        <v>2847.5211522447821</v>
      </c>
      <c r="J16" s="285">
        <f t="shared" si="1"/>
        <v>45.599999999999994</v>
      </c>
      <c r="K16" s="285">
        <v>20</v>
      </c>
      <c r="L16" s="285">
        <v>25</v>
      </c>
      <c r="M16" s="285">
        <v>15</v>
      </c>
      <c r="N16" s="285">
        <v>295.54999999999995</v>
      </c>
      <c r="O16" s="285">
        <v>386.4</v>
      </c>
      <c r="P16" s="285">
        <v>630.19999999999993</v>
      </c>
      <c r="Q16" s="7">
        <f t="shared" si="2"/>
        <v>71.127525194069236</v>
      </c>
    </row>
    <row r="17" spans="1:17">
      <c r="A17" s="289" t="s">
        <v>30</v>
      </c>
      <c r="B17" s="285">
        <f>Калькуляция!E17</f>
        <v>7465.496777467115</v>
      </c>
      <c r="C17" s="154">
        <f>Калькуляция!F17</f>
        <v>7714.739354008776</v>
      </c>
      <c r="D17" s="154">
        <f>Калькуляция!G17</f>
        <v>7857.7939494569164</v>
      </c>
      <c r="E17" s="7">
        <v>37</v>
      </c>
      <c r="F17" s="284">
        <v>0.39999999999999997</v>
      </c>
      <c r="G17" s="300">
        <f t="shared" si="0"/>
        <v>2986.1987109868455</v>
      </c>
      <c r="H17" s="301">
        <f t="shared" si="3"/>
        <v>3085.89574160351</v>
      </c>
      <c r="I17" s="301">
        <f t="shared" si="4"/>
        <v>3143.1175797827664</v>
      </c>
      <c r="J17" s="285">
        <f t="shared" si="1"/>
        <v>70.3</v>
      </c>
      <c r="K17" s="285">
        <v>20</v>
      </c>
      <c r="L17" s="285">
        <v>25</v>
      </c>
      <c r="M17" s="285">
        <v>15</v>
      </c>
      <c r="N17" s="285">
        <f>'Тарифы логистика 35-40л'!D12*1.15</f>
        <v>479.54999999999995</v>
      </c>
      <c r="O17" s="285">
        <f>'Тарифы логистика 35-40л'!D21*1.15</f>
        <v>584.19999999999993</v>
      </c>
      <c r="P17" s="285">
        <f>'Тарифы логистика 35-40л'!D30*1.15</f>
        <v>1010.8499999999999</v>
      </c>
      <c r="Q17" s="7">
        <f t="shared" si="2"/>
        <v>74.65496777467115</v>
      </c>
    </row>
    <row r="18" spans="1:17">
      <c r="A18" s="289" t="s">
        <v>29</v>
      </c>
      <c r="B18" s="285">
        <f>Калькуляция!E18</f>
        <v>8767.4741052993741</v>
      </c>
      <c r="C18" s="154">
        <f>Калькуляция!F18</f>
        <v>9016.7166818410333</v>
      </c>
      <c r="D18" s="154">
        <f>Калькуляция!G18</f>
        <v>9029.5735445059508</v>
      </c>
      <c r="E18" s="7">
        <v>37</v>
      </c>
      <c r="F18" s="284">
        <v>0.39999999999999997</v>
      </c>
      <c r="G18" s="300">
        <f t="shared" si="0"/>
        <v>3506.9896421197495</v>
      </c>
      <c r="H18" s="301">
        <f t="shared" si="3"/>
        <v>3606.6866727364131</v>
      </c>
      <c r="I18" s="301">
        <f t="shared" si="4"/>
        <v>3611.8294178023802</v>
      </c>
      <c r="J18" s="285">
        <f t="shared" si="1"/>
        <v>70.3</v>
      </c>
      <c r="K18" s="285">
        <v>20</v>
      </c>
      <c r="L18" s="285">
        <v>25</v>
      </c>
      <c r="M18" s="285">
        <v>15</v>
      </c>
      <c r="N18" s="285">
        <v>479.54999999999995</v>
      </c>
      <c r="O18" s="285">
        <v>584.19999999999993</v>
      </c>
      <c r="P18" s="285">
        <v>1010.8499999999999</v>
      </c>
      <c r="Q18" s="7">
        <f t="shared" si="2"/>
        <v>87.674741052993738</v>
      </c>
    </row>
    <row r="19" spans="1:17">
      <c r="A19" s="289" t="s">
        <v>31</v>
      </c>
      <c r="B19" s="285">
        <f>Калькуляция!E19</f>
        <v>9500.6294280814054</v>
      </c>
      <c r="C19" s="154">
        <f>Калькуляция!F19</f>
        <v>9821.0841693492548</v>
      </c>
      <c r="D19" s="154">
        <f>Калькуляция!G19</f>
        <v>10051.773696289578</v>
      </c>
      <c r="E19" s="7">
        <v>59</v>
      </c>
      <c r="F19" s="284">
        <v>0.39999999999999997</v>
      </c>
      <c r="G19" s="300">
        <f t="shared" si="0"/>
        <v>3800.2517712325621</v>
      </c>
      <c r="H19" s="301">
        <f t="shared" si="3"/>
        <v>3928.4336677397014</v>
      </c>
      <c r="I19" s="301">
        <f t="shared" si="4"/>
        <v>4020.7094785158306</v>
      </c>
      <c r="J19" s="285">
        <f t="shared" si="1"/>
        <v>112.1</v>
      </c>
      <c r="K19" s="285">
        <v>20</v>
      </c>
      <c r="L19" s="285">
        <v>25</v>
      </c>
      <c r="M19" s="285">
        <v>15</v>
      </c>
      <c r="N19" s="285">
        <v>654.34999999999991</v>
      </c>
      <c r="O19" s="285">
        <v>788.9</v>
      </c>
      <c r="P19" s="285">
        <v>1354.6999999999998</v>
      </c>
      <c r="Q19" s="7">
        <f t="shared" si="2"/>
        <v>95.00629428081406</v>
      </c>
    </row>
    <row r="20" spans="1:17">
      <c r="A20" s="289" t="s">
        <v>32</v>
      </c>
      <c r="B20" s="285">
        <f>Калькуляция!E20</f>
        <v>10543.567475617494</v>
      </c>
      <c r="C20" s="154">
        <f>Калькуляция!F20</f>
        <v>10864.022216885343</v>
      </c>
      <c r="D20" s="154">
        <f>Калькуляция!G20</f>
        <v>10990.417939072056</v>
      </c>
      <c r="E20" s="7">
        <v>59</v>
      </c>
      <c r="F20" s="284">
        <v>0.39999999999999997</v>
      </c>
      <c r="G20" s="300">
        <f t="shared" si="0"/>
        <v>4217.4269902469969</v>
      </c>
      <c r="H20" s="301">
        <f t="shared" si="3"/>
        <v>4345.6088867541366</v>
      </c>
      <c r="I20" s="301">
        <f t="shared" si="4"/>
        <v>4396.1671756288224</v>
      </c>
      <c r="J20" s="285">
        <f t="shared" si="1"/>
        <v>112.1</v>
      </c>
      <c r="K20" s="285">
        <v>20</v>
      </c>
      <c r="L20" s="285">
        <v>25</v>
      </c>
      <c r="M20" s="285">
        <v>15</v>
      </c>
      <c r="N20" s="285">
        <v>654.34999999999991</v>
      </c>
      <c r="O20" s="285">
        <v>788.9</v>
      </c>
      <c r="P20" s="285">
        <v>1354.6999999999998</v>
      </c>
      <c r="Q20" s="7">
        <f t="shared" si="2"/>
        <v>105.43567475617495</v>
      </c>
    </row>
    <row r="21" spans="1:17">
      <c r="A21" s="289" t="s">
        <v>1266</v>
      </c>
      <c r="B21" s="285">
        <f>Калькуляция!E21</f>
        <v>7814.1939059874694</v>
      </c>
      <c r="C21" s="154">
        <f>Калькуляция!F21</f>
        <v>8027.547539551002</v>
      </c>
      <c r="D21" s="154">
        <f>Калькуляция!G21</f>
        <v>8092.111264509228</v>
      </c>
      <c r="E21" s="7">
        <v>44</v>
      </c>
      <c r="F21" s="284">
        <v>0.33999999999999997</v>
      </c>
      <c r="G21" s="300">
        <f t="shared" si="0"/>
        <v>2656.8259280357393</v>
      </c>
      <c r="H21" s="301">
        <f t="shared" si="3"/>
        <v>2729.3661634473406</v>
      </c>
      <c r="I21" s="301">
        <f t="shared" si="4"/>
        <v>2751.3178299331371</v>
      </c>
      <c r="J21" s="285">
        <f t="shared" si="1"/>
        <v>83.6</v>
      </c>
      <c r="K21" s="285">
        <v>20</v>
      </c>
      <c r="L21" s="285">
        <v>25</v>
      </c>
      <c r="M21" s="285">
        <v>15</v>
      </c>
      <c r="N21" s="285">
        <v>549.69999999999993</v>
      </c>
      <c r="O21" s="285">
        <v>652.04999999999995</v>
      </c>
      <c r="P21" s="285">
        <v>1114.3499999999999</v>
      </c>
      <c r="Q21" s="7">
        <f t="shared" si="2"/>
        <v>78.141939059874701</v>
      </c>
    </row>
    <row r="22" spans="1:17">
      <c r="A22" s="289" t="s">
        <v>1265</v>
      </c>
      <c r="B22" s="285">
        <f>Калькуляция!E23</f>
        <v>9768.5110279005821</v>
      </c>
      <c r="C22" s="154">
        <f>Калькуляция!F22</f>
        <v>8996.8845400387436</v>
      </c>
      <c r="D22" s="154">
        <f>Калькуляция!G22</f>
        <v>9158.6903438093887</v>
      </c>
      <c r="E22" s="7">
        <v>55</v>
      </c>
      <c r="F22" s="284">
        <v>0.33999999999999997</v>
      </c>
      <c r="G22" s="300">
        <f t="shared" si="0"/>
        <v>3321.2937494861976</v>
      </c>
      <c r="H22" s="301">
        <f t="shared" si="3"/>
        <v>3058.9407436131723</v>
      </c>
      <c r="I22" s="301">
        <f t="shared" si="4"/>
        <v>3113.9547168951917</v>
      </c>
      <c r="J22" s="285">
        <f t="shared" si="1"/>
        <v>104.5</v>
      </c>
      <c r="K22" s="285">
        <v>20</v>
      </c>
      <c r="L22" s="285">
        <v>25</v>
      </c>
      <c r="M22" s="285">
        <v>15</v>
      </c>
      <c r="N22" s="285">
        <v>654.34999999999991</v>
      </c>
      <c r="O22" s="285">
        <v>788.9</v>
      </c>
      <c r="P22" s="285">
        <v>1354.6999999999998</v>
      </c>
      <c r="Q22" s="7">
        <f t="shared" si="2"/>
        <v>97.685110279005826</v>
      </c>
    </row>
    <row r="23" spans="1:17">
      <c r="A23" s="289" t="s">
        <v>1267</v>
      </c>
      <c r="B23" s="285">
        <f>Калькуляция!E22</f>
        <v>9152.8146369900751</v>
      </c>
      <c r="C23" s="154">
        <f>Калькуляция!F23</f>
        <v>10533.338011651209</v>
      </c>
      <c r="D23" s="154">
        <f>Калькуляция!G23</f>
        <v>10813.344558666276</v>
      </c>
      <c r="E23" s="7">
        <v>65</v>
      </c>
      <c r="F23" s="284">
        <v>0.33999999999999997</v>
      </c>
      <c r="G23" s="300">
        <f t="shared" si="0"/>
        <v>3111.956976576625</v>
      </c>
      <c r="H23" s="301">
        <f t="shared" si="3"/>
        <v>3581.3349239614108</v>
      </c>
      <c r="I23" s="301">
        <f t="shared" si="4"/>
        <v>3676.5371499465336</v>
      </c>
      <c r="J23" s="285">
        <f t="shared" si="1"/>
        <v>123.5</v>
      </c>
      <c r="K23" s="285">
        <v>20</v>
      </c>
      <c r="L23" s="285">
        <v>25</v>
      </c>
      <c r="M23" s="285">
        <v>15</v>
      </c>
      <c r="N23" s="285">
        <v>756.69999999999993</v>
      </c>
      <c r="O23" s="285">
        <v>914.24999999999989</v>
      </c>
      <c r="P23" s="285">
        <v>1624.9499999999998</v>
      </c>
      <c r="Q23" s="7">
        <f t="shared" si="2"/>
        <v>91.528146369900753</v>
      </c>
    </row>
    <row r="24" spans="1:17">
      <c r="A24" s="289" t="s">
        <v>41</v>
      </c>
      <c r="B24" s="285">
        <f>Калькуляция!E24</f>
        <v>9149.4401895775409</v>
      </c>
      <c r="C24" s="154">
        <f>Калькуляция!F24</f>
        <v>9524.6735190963045</v>
      </c>
      <c r="D24" s="154">
        <f>Калькуляция!G24</f>
        <v>10095.598706444609</v>
      </c>
      <c r="E24" s="7">
        <v>64</v>
      </c>
      <c r="F24" s="284">
        <v>0.39999999999999997</v>
      </c>
      <c r="G24" s="300">
        <f t="shared" si="0"/>
        <v>3659.776075831016</v>
      </c>
      <c r="H24" s="301">
        <f t="shared" si="3"/>
        <v>3809.8694076385214</v>
      </c>
      <c r="I24" s="301">
        <f t="shared" si="4"/>
        <v>4038.2394825778433</v>
      </c>
      <c r="J24" s="285">
        <f t="shared" si="1"/>
        <v>121.6</v>
      </c>
      <c r="K24" s="285">
        <v>20</v>
      </c>
      <c r="L24" s="285">
        <v>25</v>
      </c>
      <c r="M24" s="285">
        <v>15</v>
      </c>
      <c r="N24" s="285">
        <f>'Тарифы логистика 60-70л'!D12*1.15</f>
        <v>756.69999999999993</v>
      </c>
      <c r="O24" s="285">
        <f>'Тарифы логистика 60-70л'!D21*1.15</f>
        <v>914.24999999999989</v>
      </c>
      <c r="P24" s="285">
        <f>'Тарифы логистика 60-70л'!D30*1.15</f>
        <v>1624.9499999999998</v>
      </c>
      <c r="Q24" s="7">
        <f t="shared" si="2"/>
        <v>91.494401895775411</v>
      </c>
    </row>
    <row r="25" spans="1:17">
      <c r="A25" s="289" t="s">
        <v>40</v>
      </c>
      <c r="B25" s="285">
        <f>Калькуляция!E25</f>
        <v>9608.4492328580309</v>
      </c>
      <c r="C25" s="154">
        <f>Калькуляция!F25</f>
        <v>9983.6825623767945</v>
      </c>
      <c r="D25" s="154">
        <f>Калькуляция!G25</f>
        <v>10508.706845397048</v>
      </c>
      <c r="E25" s="7">
        <v>62</v>
      </c>
      <c r="F25" s="284">
        <v>0.39999999999999997</v>
      </c>
      <c r="G25" s="300">
        <f t="shared" si="0"/>
        <v>3843.3796931432121</v>
      </c>
      <c r="H25" s="301">
        <f t="shared" si="3"/>
        <v>3993.4730249507174</v>
      </c>
      <c r="I25" s="301">
        <f t="shared" si="4"/>
        <v>4203.4827381588184</v>
      </c>
      <c r="J25" s="285">
        <f t="shared" si="1"/>
        <v>117.8</v>
      </c>
      <c r="K25" s="285">
        <v>20</v>
      </c>
      <c r="L25" s="285">
        <v>25</v>
      </c>
      <c r="M25" s="285">
        <v>15</v>
      </c>
      <c r="N25" s="285">
        <v>756.69999999999993</v>
      </c>
      <c r="O25" s="285">
        <v>914.24999999999989</v>
      </c>
      <c r="P25" s="285">
        <v>1624.9499999999998</v>
      </c>
      <c r="Q25" s="7">
        <f t="shared" si="2"/>
        <v>96.084492328580311</v>
      </c>
    </row>
    <row r="26" spans="1:17">
      <c r="A26" s="289" t="s">
        <v>119</v>
      </c>
      <c r="B26" s="285">
        <f>Калькуляция!E26</f>
        <v>31197.98671764629</v>
      </c>
      <c r="C26" s="154">
        <f>Калькуляция!F26</f>
        <v>34076.601530231856</v>
      </c>
      <c r="D26" s="154">
        <f>Калькуляция!G26</f>
        <v>36915.343795460452</v>
      </c>
      <c r="E26" s="7">
        <v>348</v>
      </c>
      <c r="F26" s="288">
        <v>0.39999999999999997</v>
      </c>
      <c r="G26" s="300">
        <f t="shared" si="0"/>
        <v>12479.194687058514</v>
      </c>
      <c r="H26" s="301">
        <f t="shared" si="3"/>
        <v>13630.64061209274</v>
      </c>
      <c r="I26" s="301">
        <f t="shared" si="4"/>
        <v>14766.137518184179</v>
      </c>
      <c r="J26" s="285">
        <f t="shared" si="1"/>
        <v>661.19999999999993</v>
      </c>
      <c r="K26" s="285">
        <v>20</v>
      </c>
      <c r="L26" s="285">
        <v>25</v>
      </c>
      <c r="M26" s="285">
        <v>15</v>
      </c>
      <c r="N26" s="285">
        <f>'Тарифы логистика 200-400л'!D7*1.15</f>
        <v>2370.1499999999996</v>
      </c>
      <c r="O26" s="285">
        <f>'Тарифы логистика 200-400л'!D21*1.15</f>
        <v>3578.7999999999997</v>
      </c>
      <c r="P26" s="285">
        <f>'Тарифы логистика 200-400л'!D30*1.15</f>
        <v>6492.9</v>
      </c>
      <c r="Q26" s="7">
        <f t="shared" si="2"/>
        <v>311.9798671764629</v>
      </c>
    </row>
    <row r="27" spans="1:17">
      <c r="A27" s="290" t="s">
        <v>121</v>
      </c>
      <c r="B27" s="285">
        <f>Калькуляция!E27</f>
        <v>33611.280233777616</v>
      </c>
      <c r="C27" s="154">
        <f>Калькуляция!F27</f>
        <v>36489.895046363177</v>
      </c>
      <c r="D27" s="154">
        <f>Калькуляция!G27</f>
        <v>39087.307959978636</v>
      </c>
      <c r="E27" s="7">
        <v>348</v>
      </c>
      <c r="F27" s="284">
        <v>0.39999999999999997</v>
      </c>
      <c r="G27" s="300">
        <f t="shared" si="0"/>
        <v>13444.512093511044</v>
      </c>
      <c r="H27" s="301">
        <f t="shared" si="3"/>
        <v>14595.958018545271</v>
      </c>
      <c r="I27" s="301">
        <f t="shared" si="4"/>
        <v>15634.923183991454</v>
      </c>
      <c r="J27" s="285">
        <f t="shared" si="1"/>
        <v>661.19999999999993</v>
      </c>
      <c r="K27" s="285">
        <v>20</v>
      </c>
      <c r="L27" s="285">
        <v>25</v>
      </c>
      <c r="M27" s="285">
        <v>15</v>
      </c>
      <c r="N27" s="285">
        <v>2370.1499999999996</v>
      </c>
      <c r="O27" s="285">
        <v>3578.7999999999997</v>
      </c>
      <c r="P27" s="285">
        <v>6492.9</v>
      </c>
      <c r="Q27" s="7">
        <f t="shared" si="2"/>
        <v>336.11280233777615</v>
      </c>
    </row>
    <row r="28" spans="1:17">
      <c r="A28" s="291" t="s">
        <v>1310</v>
      </c>
      <c r="B28" s="285">
        <f>Калькуляция!E28</f>
        <v>7080.6950606123191</v>
      </c>
      <c r="C28" s="154">
        <f>Калькуляция!F28</f>
        <v>7324.45977832889</v>
      </c>
      <c r="D28" s="154">
        <f>Калькуляция!G28</f>
        <v>7582.9584619550451</v>
      </c>
      <c r="E28" s="7">
        <v>44</v>
      </c>
      <c r="F28" s="284">
        <v>0.39999999999999997</v>
      </c>
      <c r="G28" s="300">
        <f t="shared" si="0"/>
        <v>2832.2780242449276</v>
      </c>
      <c r="H28" s="301">
        <f t="shared" si="3"/>
        <v>2929.7839113315558</v>
      </c>
      <c r="I28" s="301">
        <f t="shared" si="4"/>
        <v>3033.1833847820176</v>
      </c>
      <c r="J28" s="285">
        <f t="shared" si="1"/>
        <v>83.6</v>
      </c>
      <c r="K28" s="285">
        <v>20</v>
      </c>
      <c r="L28" s="285">
        <v>25</v>
      </c>
      <c r="M28" s="285">
        <v>15</v>
      </c>
      <c r="N28" s="285">
        <v>549.69999999999993</v>
      </c>
      <c r="O28" s="285">
        <v>652.04999999999995</v>
      </c>
      <c r="P28" s="285">
        <v>1114.3499999999999</v>
      </c>
      <c r="Q28" s="7">
        <f t="shared" si="2"/>
        <v>70.806950606123195</v>
      </c>
    </row>
    <row r="29" spans="1:17">
      <c r="A29" s="291" t="s">
        <v>1312</v>
      </c>
      <c r="B29" s="285">
        <f>Калькуляция!E30</f>
        <v>8920.6157376614319</v>
      </c>
      <c r="C29" s="154">
        <f>Калькуляция!F29</f>
        <v>8275.9948907623602</v>
      </c>
      <c r="D29" s="154">
        <f>Калькуляция!G29</f>
        <v>8661.1933455613707</v>
      </c>
      <c r="E29" s="7">
        <v>55</v>
      </c>
      <c r="F29" s="284">
        <v>0.39999999999999997</v>
      </c>
      <c r="G29" s="300">
        <f t="shared" si="0"/>
        <v>3568.2462950645727</v>
      </c>
      <c r="H29" s="301">
        <f t="shared" si="3"/>
        <v>3310.3979563049438</v>
      </c>
      <c r="I29" s="301">
        <f t="shared" si="4"/>
        <v>3464.477338224548</v>
      </c>
      <c r="J29" s="285">
        <f t="shared" si="1"/>
        <v>104.5</v>
      </c>
      <c r="K29" s="285">
        <v>20</v>
      </c>
      <c r="L29" s="285">
        <v>25</v>
      </c>
      <c r="M29" s="285">
        <v>15</v>
      </c>
      <c r="N29" s="285">
        <v>654.34999999999991</v>
      </c>
      <c r="O29" s="285">
        <v>788.9</v>
      </c>
      <c r="P29" s="285">
        <v>1354.6999999999998</v>
      </c>
      <c r="Q29" s="7">
        <f t="shared" si="2"/>
        <v>89.206157376614314</v>
      </c>
    </row>
    <row r="30" spans="1:17">
      <c r="A30" s="291" t="s">
        <v>1311</v>
      </c>
      <c r="B30" s="285">
        <f>Калькуляция!E29</f>
        <v>8426.4492426581546</v>
      </c>
      <c r="C30" s="154">
        <f>Калькуляция!F30</f>
        <v>9766.7581603438412</v>
      </c>
      <c r="D30" s="154">
        <f>Калькуляция!G30</f>
        <v>10313.474883567389</v>
      </c>
      <c r="E30" s="7">
        <v>65</v>
      </c>
      <c r="F30" s="284">
        <v>0.39999999999999997</v>
      </c>
      <c r="G30" s="300">
        <f t="shared" si="0"/>
        <v>3370.5796970632614</v>
      </c>
      <c r="H30" s="301">
        <f t="shared" si="3"/>
        <v>3906.7032641375363</v>
      </c>
      <c r="I30" s="301">
        <f t="shared" si="4"/>
        <v>4125.3899534269549</v>
      </c>
      <c r="J30" s="285">
        <f t="shared" si="1"/>
        <v>123.5</v>
      </c>
      <c r="K30" s="285">
        <v>20</v>
      </c>
      <c r="L30" s="285">
        <v>25</v>
      </c>
      <c r="M30" s="285">
        <v>15</v>
      </c>
      <c r="N30" s="285">
        <v>756.69999999999993</v>
      </c>
      <c r="O30" s="285">
        <v>914.24999999999989</v>
      </c>
      <c r="P30" s="285">
        <v>1624.9499999999998</v>
      </c>
      <c r="Q30" s="7">
        <f t="shared" si="2"/>
        <v>84.264492426581555</v>
      </c>
    </row>
    <row r="31" spans="1:17">
      <c r="A31" s="291" t="s">
        <v>1314</v>
      </c>
      <c r="B31" s="285">
        <f>Калькуляция!E31</f>
        <v>42907.58182260883</v>
      </c>
      <c r="C31" s="154">
        <f>Калькуляция!F31</f>
        <v>46172.161365568114</v>
      </c>
      <c r="D31" s="154">
        <f>Калькуляция!G31</f>
        <v>48638.865405674427</v>
      </c>
      <c r="E31" s="7">
        <v>348</v>
      </c>
      <c r="F31" s="284">
        <v>0.45</v>
      </c>
      <c r="G31" s="300">
        <f t="shared" si="0"/>
        <v>19308.411820173973</v>
      </c>
      <c r="H31" s="301">
        <f t="shared" si="3"/>
        <v>20777.472614505652</v>
      </c>
      <c r="I31" s="301">
        <f t="shared" si="4"/>
        <v>21887.489432553491</v>
      </c>
      <c r="J31" s="285">
        <f t="shared" si="1"/>
        <v>661.19999999999993</v>
      </c>
      <c r="K31" s="285">
        <v>20</v>
      </c>
      <c r="L31" s="285">
        <v>25</v>
      </c>
      <c r="M31" s="285">
        <v>15</v>
      </c>
      <c r="N31" s="285">
        <v>2370.1499999999996</v>
      </c>
      <c r="O31" s="285">
        <v>3578.7999999999997</v>
      </c>
      <c r="P31" s="285">
        <v>6492.9</v>
      </c>
      <c r="Q31" s="7">
        <f t="shared" si="2"/>
        <v>429.0758182260883</v>
      </c>
    </row>
    <row r="32" spans="1:17">
      <c r="A32" s="291" t="s">
        <v>1315</v>
      </c>
      <c r="B32" s="285">
        <f>Калькуляция!E32</f>
        <v>18800.428438638686</v>
      </c>
      <c r="C32" s="154">
        <f>Калькуляция!F32</f>
        <v>19225.973060318443</v>
      </c>
      <c r="D32" s="154">
        <f>Калькуляция!G32</f>
        <v>19031.024795003959</v>
      </c>
      <c r="E32" s="7">
        <v>65</v>
      </c>
      <c r="F32" s="284">
        <v>0.45</v>
      </c>
      <c r="G32" s="300">
        <f t="shared" si="0"/>
        <v>8460.1927973874099</v>
      </c>
      <c r="H32" s="301">
        <f t="shared" si="3"/>
        <v>8651.6878771433003</v>
      </c>
      <c r="I32" s="301">
        <f t="shared" si="4"/>
        <v>8563.9611577517826</v>
      </c>
      <c r="J32" s="285">
        <f t="shared" si="1"/>
        <v>123.5</v>
      </c>
      <c r="K32" s="285">
        <v>20</v>
      </c>
      <c r="L32" s="285">
        <v>25</v>
      </c>
      <c r="M32" s="285">
        <v>15</v>
      </c>
      <c r="N32" s="285">
        <v>756.69999999999993</v>
      </c>
      <c r="O32" s="285">
        <v>914.24999999999989</v>
      </c>
      <c r="P32" s="285">
        <v>1624.9499999999998</v>
      </c>
      <c r="Q32" s="7">
        <f t="shared" si="2"/>
        <v>188.00428438638687</v>
      </c>
    </row>
    <row r="33" spans="1:17">
      <c r="A33" s="291" t="s">
        <v>1316</v>
      </c>
      <c r="B33" s="285">
        <f>Калькуляция!E33</f>
        <v>12341.181837157959</v>
      </c>
      <c r="C33" s="154">
        <f>Калькуляция!F33</f>
        <v>12617.630532993711</v>
      </c>
      <c r="D33" s="154">
        <f>Калькуляция!G33</f>
        <v>12479.678020743502</v>
      </c>
      <c r="E33" s="7">
        <v>42</v>
      </c>
      <c r="F33" s="284">
        <v>0.45</v>
      </c>
      <c r="G33" s="300">
        <f t="shared" si="0"/>
        <v>5553.5318267210814</v>
      </c>
      <c r="H33" s="301">
        <f t="shared" si="3"/>
        <v>5677.9337398471698</v>
      </c>
      <c r="I33" s="301">
        <f t="shared" si="4"/>
        <v>5615.8551093345759</v>
      </c>
      <c r="J33" s="285">
        <f t="shared" si="1"/>
        <v>79.8</v>
      </c>
      <c r="K33" s="285">
        <v>20</v>
      </c>
      <c r="L33" s="285">
        <v>25</v>
      </c>
      <c r="M33" s="285">
        <v>15</v>
      </c>
      <c r="N33" s="285">
        <f>'Тарифы логистика 40-45л'!D12*1.15</f>
        <v>549.69999999999993</v>
      </c>
      <c r="O33" s="285">
        <f>'Тарифы логистика 40-45л'!D21*1.15</f>
        <v>652.04999999999995</v>
      </c>
      <c r="P33" s="285">
        <f>'Тарифы логистика 40-45л'!D30*1.15</f>
        <v>1114.3499999999999</v>
      </c>
      <c r="Q33" s="7">
        <f t="shared" si="2"/>
        <v>123.4118183715796</v>
      </c>
    </row>
    <row r="34" spans="1:17">
      <c r="A34" s="291" t="s">
        <v>1317</v>
      </c>
      <c r="B34" s="285">
        <f>Калькуляция!E34</f>
        <v>12087.791320511387</v>
      </c>
      <c r="C34" s="154">
        <f>Калькуляция!F34</f>
        <v>12370.452346590639</v>
      </c>
      <c r="D34" s="154">
        <f>Калькуляция!G34</f>
        <v>12170.555646083911</v>
      </c>
      <c r="E34" s="7">
        <v>37</v>
      </c>
      <c r="F34" s="284">
        <v>0.45</v>
      </c>
      <c r="G34" s="300">
        <f t="shared" si="0"/>
        <v>5439.5060942301243</v>
      </c>
      <c r="H34" s="301">
        <f t="shared" si="3"/>
        <v>5566.7035559657879</v>
      </c>
      <c r="I34" s="301">
        <f t="shared" si="4"/>
        <v>5476.7500407377602</v>
      </c>
      <c r="J34" s="285">
        <f t="shared" si="1"/>
        <v>70.3</v>
      </c>
      <c r="K34" s="285">
        <v>20</v>
      </c>
      <c r="L34" s="285">
        <v>25</v>
      </c>
      <c r="M34" s="285">
        <v>15</v>
      </c>
      <c r="N34" s="285">
        <v>479.54999999999995</v>
      </c>
      <c r="O34" s="285">
        <v>584.19999999999993</v>
      </c>
      <c r="P34" s="285">
        <v>1010.8499999999999</v>
      </c>
      <c r="Q34" s="7">
        <f t="shared" si="2"/>
        <v>120.87791320511387</v>
      </c>
    </row>
    <row r="35" spans="1:17">
      <c r="A35" s="291" t="s">
        <v>1318</v>
      </c>
      <c r="B35" s="285">
        <f>Калькуляция!E35</f>
        <v>22478.05129937247</v>
      </c>
      <c r="C35" s="154">
        <f>Калькуляция!F35</f>
        <v>23096.178158600727</v>
      </c>
      <c r="D35" s="154">
        <f>Калькуляция!G35</f>
        <v>23059.341362325151</v>
      </c>
      <c r="E35" s="7">
        <v>88</v>
      </c>
      <c r="F35" s="284">
        <v>0.45</v>
      </c>
      <c r="G35" s="300">
        <f t="shared" si="0"/>
        <v>10115.123084717612</v>
      </c>
      <c r="H35" s="301">
        <f t="shared" si="3"/>
        <v>10393.280171370328</v>
      </c>
      <c r="I35" s="301">
        <f t="shared" si="4"/>
        <v>10376.703613046318</v>
      </c>
      <c r="J35" s="285">
        <f t="shared" si="1"/>
        <v>167.2</v>
      </c>
      <c r="K35" s="285">
        <v>20</v>
      </c>
      <c r="L35" s="285">
        <v>25</v>
      </c>
      <c r="M35" s="285">
        <v>15</v>
      </c>
      <c r="N35" s="285">
        <f>'Тарифы логистика 80-90л'!D12*1.15</f>
        <v>953.34999999999991</v>
      </c>
      <c r="O35" s="285">
        <f>'Тарифы логистика 80-90л'!D21*1.15</f>
        <v>1182.1999999999998</v>
      </c>
      <c r="P35" s="285">
        <f>'Тарифы логистика 80-90л'!D30*1.15</f>
        <v>2117.1499999999996</v>
      </c>
      <c r="Q35" s="7">
        <f t="shared" si="2"/>
        <v>224.7805129937247</v>
      </c>
    </row>
    <row r="36" spans="1:17">
      <c r="A36" s="291" t="s">
        <v>1385</v>
      </c>
      <c r="B36" s="285">
        <f>Калькуляция!E36</f>
        <v>0</v>
      </c>
      <c r="C36" s="154">
        <f>Калькуляция!F36</f>
        <v>0</v>
      </c>
      <c r="D36" s="154">
        <f>Калькуляция!G36</f>
        <v>17189.903907432134</v>
      </c>
      <c r="E36" s="317">
        <v>56</v>
      </c>
      <c r="F36" s="284">
        <v>0.45</v>
      </c>
      <c r="G36" s="300">
        <f t="shared" si="0"/>
        <v>0</v>
      </c>
      <c r="H36" s="301">
        <f t="shared" si="3"/>
        <v>0</v>
      </c>
      <c r="I36" s="301">
        <f t="shared" si="4"/>
        <v>7735.4567583444605</v>
      </c>
      <c r="J36" s="318">
        <f t="shared" si="1"/>
        <v>106.39999999999999</v>
      </c>
      <c r="K36" s="285">
        <v>20</v>
      </c>
      <c r="L36" s="285">
        <v>25</v>
      </c>
      <c r="M36" s="285">
        <v>15</v>
      </c>
      <c r="N36" s="285">
        <f>'Тарифы логистика 80-90л'!D13*1.15</f>
        <v>1100.55</v>
      </c>
      <c r="O36" s="285">
        <f>'Тарифы логистика 80-90л'!D22*1.15</f>
        <v>1406.4499999999998</v>
      </c>
      <c r="P36" s="285">
        <f>'Тарифы логистика 50-60л'!D30*1.15</f>
        <v>1354.6999999999998</v>
      </c>
      <c r="Q36" s="7">
        <f t="shared" si="2"/>
        <v>0</v>
      </c>
    </row>
    <row r="37" spans="1:17">
      <c r="A37" s="291" t="s">
        <v>1386</v>
      </c>
      <c r="B37" s="285">
        <f>Калькуляция!E37</f>
        <v>0</v>
      </c>
      <c r="C37" s="154">
        <f>Калькуляция!F37</f>
        <v>0</v>
      </c>
      <c r="D37" s="154">
        <f>Калькуляция!G37</f>
        <v>21159.396882395275</v>
      </c>
      <c r="E37" s="317">
        <v>83</v>
      </c>
      <c r="F37" s="284">
        <v>0.45</v>
      </c>
      <c r="G37" s="300">
        <f t="shared" si="0"/>
        <v>0</v>
      </c>
      <c r="H37" s="301">
        <f t="shared" si="3"/>
        <v>0</v>
      </c>
      <c r="I37" s="301">
        <f t="shared" si="4"/>
        <v>9521.7285970778739</v>
      </c>
      <c r="J37" s="318">
        <f t="shared" si="1"/>
        <v>157.69999999999999</v>
      </c>
      <c r="K37" s="285">
        <v>20</v>
      </c>
      <c r="L37" s="285">
        <v>25</v>
      </c>
      <c r="M37" s="285">
        <v>15</v>
      </c>
      <c r="N37" s="285">
        <f>'Тарифы логистика 80-90л'!D14*1.15</f>
        <v>1110.8999999999999</v>
      </c>
      <c r="O37" s="285">
        <f>'Тарифы логистика 80-90л'!D23*1.15</f>
        <v>1455.8999999999999</v>
      </c>
      <c r="P37" s="285">
        <f>'Тарифы логистика 80-90л'!D30*1.15</f>
        <v>2117.1499999999996</v>
      </c>
      <c r="Q37" s="7">
        <f t="shared" si="2"/>
        <v>0</v>
      </c>
    </row>
    <row r="38" spans="1:17">
      <c r="A38" s="316" t="s">
        <v>1387</v>
      </c>
      <c r="D38" s="154">
        <f>Калькуляция!G38</f>
        <v>7939.4496509860501</v>
      </c>
      <c r="E38" s="324">
        <v>37</v>
      </c>
      <c r="F38" s="284">
        <v>0.33999999999999997</v>
      </c>
      <c r="I38" s="301">
        <f t="shared" si="4"/>
        <v>2699.4128813352568</v>
      </c>
      <c r="J38" s="318">
        <f t="shared" si="1"/>
        <v>70.3</v>
      </c>
      <c r="K38" s="285">
        <v>20</v>
      </c>
      <c r="L38" s="285">
        <v>25</v>
      </c>
      <c r="M38" s="285">
        <v>15</v>
      </c>
      <c r="P38">
        <f>'Тарифы логистика 35-40л'!D30*1.15</f>
        <v>1010.8499999999999</v>
      </c>
      <c r="Q38" s="7">
        <f t="shared" si="2"/>
        <v>0</v>
      </c>
    </row>
    <row r="39" spans="1:17">
      <c r="A39" s="316" t="s">
        <v>1388</v>
      </c>
      <c r="D39" s="154">
        <f>Калькуляция!G39</f>
        <v>10045.249227854431</v>
      </c>
      <c r="E39" s="324">
        <v>52</v>
      </c>
      <c r="F39" s="284">
        <v>0.33999999999999997</v>
      </c>
      <c r="I39" s="301">
        <f t="shared" si="4"/>
        <v>3415.384737470506</v>
      </c>
      <c r="J39" s="318">
        <f t="shared" si="1"/>
        <v>98.8</v>
      </c>
      <c r="K39" s="285">
        <v>20</v>
      </c>
      <c r="L39" s="285">
        <v>25</v>
      </c>
      <c r="M39" s="285">
        <v>15</v>
      </c>
      <c r="P39">
        <f>'Тарифы логистика 50-60л'!D30*1.15</f>
        <v>1354.6999999999998</v>
      </c>
      <c r="Q39" s="7">
        <f t="shared" si="2"/>
        <v>0</v>
      </c>
    </row>
    <row r="40" spans="1:17">
      <c r="A40" s="316" t="s">
        <v>1389</v>
      </c>
      <c r="D40" s="154">
        <f>Калькуляция!G40</f>
        <v>13392.740661965247</v>
      </c>
      <c r="E40" s="324">
        <v>68</v>
      </c>
      <c r="F40" s="284">
        <v>0.33999999999999997</v>
      </c>
      <c r="I40" s="301">
        <f t="shared" si="4"/>
        <v>4553.531825068183</v>
      </c>
      <c r="J40" s="318">
        <f t="shared" si="1"/>
        <v>129.19999999999999</v>
      </c>
      <c r="K40" s="285">
        <v>20</v>
      </c>
      <c r="L40" s="285">
        <v>25</v>
      </c>
      <c r="M40" s="285">
        <v>15</v>
      </c>
      <c r="P40">
        <f>'Тарифы логистика 60-70л'!D30*1.15</f>
        <v>1624.9499999999998</v>
      </c>
      <c r="Q40" s="7">
        <f t="shared" si="2"/>
        <v>0</v>
      </c>
    </row>
    <row r="41" spans="1:17">
      <c r="A41" s="316" t="s">
        <v>1390</v>
      </c>
      <c r="D41" s="154">
        <f>Калькуляция!G41</f>
        <v>16486.314128440375</v>
      </c>
      <c r="E41" s="324">
        <v>95</v>
      </c>
      <c r="F41" s="284">
        <v>0.33999999999999997</v>
      </c>
      <c r="I41" s="301">
        <f t="shared" si="4"/>
        <v>5605.3468036697268</v>
      </c>
      <c r="J41" s="318">
        <f t="shared" si="1"/>
        <v>180.5</v>
      </c>
      <c r="K41" s="285">
        <v>20</v>
      </c>
      <c r="L41" s="285">
        <v>25</v>
      </c>
      <c r="M41" s="285">
        <v>15</v>
      </c>
      <c r="P41">
        <f>'Тарифы логистика 80-90л'!D30*1.15</f>
        <v>2117.1499999999996</v>
      </c>
      <c r="Q41" s="7">
        <f t="shared" si="2"/>
        <v>0</v>
      </c>
    </row>
  </sheetData>
  <sortState xmlns:xlrd2="http://schemas.microsoft.com/office/spreadsheetml/2017/richdata2" ref="A2:K27">
    <sortCondition ref="A2:A27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4A2CD-99DD-8B4A-AC92-55C4C9C7AC09}">
  <dimension ref="A1:P35"/>
  <sheetViews>
    <sheetView zoomScale="110" zoomScaleNormal="110" workbookViewId="0">
      <selection activeCell="C32" sqref="C32"/>
    </sheetView>
  </sheetViews>
  <sheetFormatPr baseColWidth="10" defaultColWidth="11" defaultRowHeight="16"/>
  <cols>
    <col min="1" max="1" width="35.1640625" style="292" bestFit="1" customWidth="1"/>
    <col min="3" max="3" width="8.6640625" bestFit="1" customWidth="1"/>
    <col min="4" max="4" width="22.83203125" bestFit="1" customWidth="1"/>
    <col min="5" max="5" width="12" bestFit="1" customWidth="1"/>
    <col min="6" max="6" width="12.1640625" bestFit="1" customWidth="1"/>
    <col min="7" max="7" width="14.1640625" bestFit="1" customWidth="1"/>
    <col min="10" max="10" width="14" style="293" bestFit="1" customWidth="1"/>
    <col min="11" max="11" width="13.5" style="293" bestFit="1" customWidth="1"/>
    <col min="12" max="12" width="14.6640625" style="293" bestFit="1" customWidth="1"/>
    <col min="13" max="13" width="32.6640625" hidden="1" customWidth="1"/>
    <col min="14" max="14" width="4.1640625" hidden="1" customWidth="1"/>
    <col min="15" max="15" width="11.6640625" customWidth="1"/>
  </cols>
  <sheetData>
    <row r="1" spans="1:16" ht="46" customHeight="1">
      <c r="A1" s="289" t="s">
        <v>0</v>
      </c>
      <c r="B1" s="7" t="s">
        <v>1233</v>
      </c>
      <c r="C1" s="7" t="s">
        <v>1</v>
      </c>
      <c r="D1" s="279" t="s">
        <v>1234</v>
      </c>
      <c r="E1" s="157" t="s">
        <v>1235</v>
      </c>
      <c r="F1" s="157" t="s">
        <v>1230</v>
      </c>
      <c r="G1" s="157" t="s">
        <v>1231</v>
      </c>
      <c r="H1" s="157" t="s">
        <v>1232</v>
      </c>
      <c r="I1" s="280" t="s">
        <v>71</v>
      </c>
      <c r="J1" s="280" t="s">
        <v>1356</v>
      </c>
      <c r="K1" s="280" t="s">
        <v>1357</v>
      </c>
      <c r="L1" s="280" t="s">
        <v>1358</v>
      </c>
      <c r="M1" s="281" t="s">
        <v>1237</v>
      </c>
      <c r="N1" s="282" t="s">
        <v>1238</v>
      </c>
      <c r="O1" s="157" t="s">
        <v>1236</v>
      </c>
    </row>
    <row r="2" spans="1:16">
      <c r="A2" s="289" t="s">
        <v>42</v>
      </c>
      <c r="B2" s="283">
        <f>Калькуляция!E4</f>
        <v>1330.7172937937194</v>
      </c>
      <c r="C2" s="7">
        <v>3</v>
      </c>
      <c r="D2" s="284">
        <v>0.43</v>
      </c>
      <c r="E2" s="285">
        <f t="shared" ref="E2:E35" si="0">B2*D2</f>
        <v>572.20843633129937</v>
      </c>
      <c r="F2" s="285">
        <f t="shared" ref="F2:F35" si="1">1.9*C2</f>
        <v>5.6999999999999993</v>
      </c>
      <c r="G2" s="285">
        <v>20</v>
      </c>
      <c r="H2" s="285">
        <v>25</v>
      </c>
      <c r="I2" s="285">
        <v>15</v>
      </c>
      <c r="J2" s="285">
        <f>'Тарифы логистика 3-4л'!D13*1.15</f>
        <v>117.3</v>
      </c>
      <c r="K2" s="285">
        <f>'Тарифы логистика 3-4л'!D22*1.15</f>
        <v>152.94999999999999</v>
      </c>
      <c r="L2" s="285">
        <f>'Тарифы логистика 3-4л'!D31*1.15</f>
        <v>236.89999999999998</v>
      </c>
      <c r="M2" s="286" t="e">
        <f>#REF!+E2+F2+G2+H2+I2+J2+O2</f>
        <v>#REF!</v>
      </c>
      <c r="N2" s="287" t="e">
        <f>#REF!+E2+F2+G2+H2+I2+J2+O2</f>
        <v>#REF!</v>
      </c>
      <c r="O2" s="7">
        <f t="shared" ref="O2:O35" si="2">B2*0.01</f>
        <v>13.307172937937194</v>
      </c>
      <c r="P2" s="187"/>
    </row>
    <row r="3" spans="1:16">
      <c r="A3" s="289" t="s">
        <v>47</v>
      </c>
      <c r="B3" s="283">
        <f>Калькуляция!E3</f>
        <v>5069.8173922505985</v>
      </c>
      <c r="C3" s="7">
        <v>13</v>
      </c>
      <c r="D3" s="284">
        <v>0.43</v>
      </c>
      <c r="E3" s="285">
        <f t="shared" si="0"/>
        <v>2180.0214786677575</v>
      </c>
      <c r="F3" s="285">
        <f t="shared" si="1"/>
        <v>24.7</v>
      </c>
      <c r="G3" s="285">
        <v>20</v>
      </c>
      <c r="H3" s="285">
        <v>25</v>
      </c>
      <c r="I3" s="285">
        <v>15</v>
      </c>
      <c r="J3" s="285">
        <f>'Тарифы логистика 13-14л '!D12*1.15</f>
        <v>211.6</v>
      </c>
      <c r="K3" s="285">
        <f>'Тарифы логистика 13-14л '!D21*1.15</f>
        <v>252.99999999999997</v>
      </c>
      <c r="L3" s="285">
        <f>'Тарифы логистика 13-14л '!D30*1.15</f>
        <v>410.54999999999995</v>
      </c>
      <c r="M3" s="286" t="e">
        <f>#REF!+E3+F3+G3+H3+I3+J3+O3</f>
        <v>#REF!</v>
      </c>
      <c r="N3" s="287" t="e">
        <f>#REF!+E3+F3+G3+H3+I3+J3+O3</f>
        <v>#REF!</v>
      </c>
      <c r="O3" s="7">
        <f t="shared" si="2"/>
        <v>50.698173922505987</v>
      </c>
      <c r="P3" s="187"/>
    </row>
    <row r="4" spans="1:16">
      <c r="A4" s="289" t="s">
        <v>49</v>
      </c>
      <c r="B4" s="283">
        <f>Калькуляция!E5</f>
        <v>2790.7105990053051</v>
      </c>
      <c r="C4" s="7">
        <v>13</v>
      </c>
      <c r="D4" s="284">
        <v>0.43</v>
      </c>
      <c r="E4" s="285">
        <f t="shared" si="0"/>
        <v>1200.0055575722811</v>
      </c>
      <c r="F4" s="285">
        <f t="shared" si="1"/>
        <v>24.7</v>
      </c>
      <c r="G4" s="285">
        <v>20</v>
      </c>
      <c r="H4" s="285">
        <v>25</v>
      </c>
      <c r="I4" s="285">
        <v>15</v>
      </c>
      <c r="J4" s="285">
        <v>211.6</v>
      </c>
      <c r="K4" s="285">
        <v>252.99999999999997</v>
      </c>
      <c r="L4" s="285">
        <v>410.54999999999995</v>
      </c>
      <c r="M4" s="286" t="e">
        <f>#REF!+E4+F4+G4+H4+I4+J4+O4</f>
        <v>#REF!</v>
      </c>
      <c r="N4" s="287" t="e">
        <f>#REF!+E4+F4+G4+H4+I4+J4+O4</f>
        <v>#REF!</v>
      </c>
      <c r="O4" s="7">
        <f t="shared" si="2"/>
        <v>27.907105990053051</v>
      </c>
      <c r="P4" s="187"/>
    </row>
    <row r="5" spans="1:16">
      <c r="A5" s="289" t="s">
        <v>48</v>
      </c>
      <c r="B5" s="283">
        <f>Калькуляция!E6</f>
        <v>3196.596635780907</v>
      </c>
      <c r="C5" s="7">
        <v>14</v>
      </c>
      <c r="D5" s="284">
        <v>0.43</v>
      </c>
      <c r="E5" s="285">
        <f t="shared" si="0"/>
        <v>1374.5365533857901</v>
      </c>
      <c r="F5" s="285">
        <f t="shared" si="1"/>
        <v>26.599999999999998</v>
      </c>
      <c r="G5" s="285">
        <v>20</v>
      </c>
      <c r="H5" s="285">
        <v>25</v>
      </c>
      <c r="I5" s="285">
        <v>15</v>
      </c>
      <c r="J5" s="285">
        <f>'Тарифы логистика 14-15л'!D12*1.15</f>
        <v>221.95</v>
      </c>
      <c r="K5" s="285">
        <f>'Тарифы логистика 14-15л'!D21*1.15</f>
        <v>257.59999999999997</v>
      </c>
      <c r="L5" s="285">
        <f>'Тарифы логистика 14-15л'!D30*1.15</f>
        <v>425.49999999999994</v>
      </c>
      <c r="M5" s="286" t="e">
        <f>#REF!+E5+F5+G5+H5+I5+J5+O5</f>
        <v>#REF!</v>
      </c>
      <c r="N5" s="287" t="e">
        <f>#REF!+E5+F5+G5+H5+I5+J5+O5</f>
        <v>#REF!</v>
      </c>
      <c r="O5" s="7">
        <f t="shared" si="2"/>
        <v>31.965966357809069</v>
      </c>
      <c r="P5" s="187"/>
    </row>
    <row r="6" spans="1:16">
      <c r="A6" s="289" t="s">
        <v>37</v>
      </c>
      <c r="B6" s="283">
        <f>Калькуляция!E11</f>
        <v>5324.1189964111436</v>
      </c>
      <c r="C6" s="7">
        <v>14</v>
      </c>
      <c r="D6" s="284">
        <v>0.39999999999999997</v>
      </c>
      <c r="E6" s="285">
        <f t="shared" si="0"/>
        <v>2129.6475985644574</v>
      </c>
      <c r="F6" s="285">
        <f t="shared" si="1"/>
        <v>26.599999999999998</v>
      </c>
      <c r="G6" s="285">
        <v>20</v>
      </c>
      <c r="H6" s="285">
        <v>25</v>
      </c>
      <c r="I6" s="285">
        <v>15</v>
      </c>
      <c r="J6" s="285">
        <v>221.95</v>
      </c>
      <c r="K6" s="285">
        <v>257.59999999999997</v>
      </c>
      <c r="L6" s="285">
        <v>425.49999999999994</v>
      </c>
      <c r="M6" s="286" t="e">
        <f>#REF!+E6+F6+G6+H6+I6+J6+O6</f>
        <v>#REF!</v>
      </c>
      <c r="N6" s="287" t="e">
        <f>#REF!+E6+F6+G6+H6+I6+J6+O6</f>
        <v>#REF!</v>
      </c>
      <c r="O6" s="7">
        <f t="shared" si="2"/>
        <v>53.241189964111435</v>
      </c>
      <c r="P6" s="187"/>
    </row>
    <row r="7" spans="1:16">
      <c r="A7" s="289" t="s">
        <v>38</v>
      </c>
      <c r="B7" s="283">
        <f>Калькуляция!E12</f>
        <v>6260.4327365514728</v>
      </c>
      <c r="C7" s="7">
        <v>14</v>
      </c>
      <c r="D7" s="284">
        <v>0.39999999999999997</v>
      </c>
      <c r="E7" s="285">
        <f t="shared" si="0"/>
        <v>2504.1730946205889</v>
      </c>
      <c r="F7" s="285">
        <f t="shared" si="1"/>
        <v>26.599999999999998</v>
      </c>
      <c r="G7" s="285">
        <v>20</v>
      </c>
      <c r="H7" s="285">
        <v>25</v>
      </c>
      <c r="I7" s="285">
        <v>15</v>
      </c>
      <c r="J7" s="285">
        <v>221.95</v>
      </c>
      <c r="K7" s="285">
        <v>257.59999999999997</v>
      </c>
      <c r="L7" s="285">
        <v>425.49999999999994</v>
      </c>
      <c r="M7" s="286" t="e">
        <f>#REF!+E7+F7+G7+H7+I7+J7+O7</f>
        <v>#REF!</v>
      </c>
      <c r="N7" s="287" t="e">
        <f>#REF!+E7+F7+G7+H7+I7+J7+O7</f>
        <v>#REF!</v>
      </c>
      <c r="O7" s="7">
        <f t="shared" si="2"/>
        <v>62.604327365514727</v>
      </c>
      <c r="P7" s="187"/>
    </row>
    <row r="8" spans="1:16">
      <c r="A8" s="289" t="s">
        <v>39</v>
      </c>
      <c r="B8" s="283">
        <f>Калькуляция!E2</f>
        <v>2620.3757607158068</v>
      </c>
      <c r="C8" s="7">
        <v>23</v>
      </c>
      <c r="D8" s="284">
        <v>0.44</v>
      </c>
      <c r="E8" s="285">
        <f t="shared" si="0"/>
        <v>1152.9653347149549</v>
      </c>
      <c r="F8" s="285">
        <f t="shared" si="1"/>
        <v>43.699999999999996</v>
      </c>
      <c r="G8" s="285">
        <v>20</v>
      </c>
      <c r="H8" s="285">
        <v>25</v>
      </c>
      <c r="I8" s="285">
        <v>15</v>
      </c>
      <c r="J8" s="285">
        <f>'Тарифы логистика 20-25л'!D11*1.15</f>
        <v>295.54999999999995</v>
      </c>
      <c r="K8" s="285">
        <f>'Тарифы логистика 20-25л'!D21*1.15</f>
        <v>386.4</v>
      </c>
      <c r="L8" s="285">
        <f>'Тарифы логистика 20-25л'!D30*1.15</f>
        <v>630.19999999999993</v>
      </c>
      <c r="M8" s="286" t="e">
        <f>#REF!+E8+F8+G8+H8+I8+J8+O8</f>
        <v>#REF!</v>
      </c>
      <c r="N8" s="287" t="e">
        <f>#REF!+E8+F8+G8+H8+I8+J8+O8</f>
        <v>#REF!</v>
      </c>
      <c r="O8" s="7">
        <f t="shared" si="2"/>
        <v>26.203757607158067</v>
      </c>
      <c r="P8" s="187"/>
    </row>
    <row r="9" spans="1:16">
      <c r="A9" s="289" t="s">
        <v>33</v>
      </c>
      <c r="B9" s="283">
        <f>Калькуляция!E15</f>
        <v>6103.631820071294</v>
      </c>
      <c r="C9" s="7">
        <v>24</v>
      </c>
      <c r="D9" s="284">
        <v>0.39999999999999997</v>
      </c>
      <c r="E9" s="285">
        <f t="shared" si="0"/>
        <v>2441.4527280285174</v>
      </c>
      <c r="F9" s="285">
        <f t="shared" si="1"/>
        <v>45.599999999999994</v>
      </c>
      <c r="G9" s="285">
        <v>20</v>
      </c>
      <c r="H9" s="285">
        <v>25</v>
      </c>
      <c r="I9" s="285">
        <v>15</v>
      </c>
      <c r="J9" s="285">
        <v>295.54999999999995</v>
      </c>
      <c r="K9" s="285">
        <v>386.4</v>
      </c>
      <c r="L9" s="285">
        <v>630.19999999999993</v>
      </c>
      <c r="M9" s="286" t="e">
        <f>#REF!+E9+F9+G9+H9+I9+J9+O9</f>
        <v>#REF!</v>
      </c>
      <c r="N9" s="287" t="e">
        <f>#REF!+E9+F9+G9+H9+I9+J9+O9</f>
        <v>#REF!</v>
      </c>
      <c r="O9" s="7">
        <f t="shared" si="2"/>
        <v>61.036318200712941</v>
      </c>
      <c r="P9" s="187"/>
    </row>
    <row r="10" spans="1:16">
      <c r="A10" s="289" t="s">
        <v>34</v>
      </c>
      <c r="B10" s="283">
        <f>Калькуляция!E16</f>
        <v>7112.7525194069231</v>
      </c>
      <c r="C10" s="7">
        <v>24</v>
      </c>
      <c r="D10" s="284">
        <v>0.39999999999999997</v>
      </c>
      <c r="E10" s="285">
        <f t="shared" si="0"/>
        <v>2845.1010077627689</v>
      </c>
      <c r="F10" s="285">
        <f t="shared" si="1"/>
        <v>45.599999999999994</v>
      </c>
      <c r="G10" s="285">
        <v>20</v>
      </c>
      <c r="H10" s="285">
        <v>25</v>
      </c>
      <c r="I10" s="285">
        <v>15</v>
      </c>
      <c r="J10" s="285">
        <v>295.54999999999995</v>
      </c>
      <c r="K10" s="285">
        <v>386.4</v>
      </c>
      <c r="L10" s="285">
        <v>630.19999999999993</v>
      </c>
      <c r="M10" s="286" t="e">
        <f>#REF!+E10+F10+G10+H10+I10+J10+O10</f>
        <v>#REF!</v>
      </c>
      <c r="N10" s="287" t="e">
        <f>#REF!+E10+F10+G10+H10+I10+J10+O10</f>
        <v>#REF!</v>
      </c>
      <c r="O10" s="7">
        <f t="shared" si="2"/>
        <v>71.127525194069236</v>
      </c>
      <c r="P10" s="187"/>
    </row>
    <row r="11" spans="1:16">
      <c r="A11" s="289" t="s">
        <v>35</v>
      </c>
      <c r="B11" s="283">
        <f>Калькуляция!E14</f>
        <v>8274.1354408419247</v>
      </c>
      <c r="C11" s="7">
        <v>34</v>
      </c>
      <c r="D11" s="284">
        <v>0.39999999999999997</v>
      </c>
      <c r="E11" s="285">
        <f t="shared" si="0"/>
        <v>3309.6541763367695</v>
      </c>
      <c r="F11" s="285">
        <f t="shared" si="1"/>
        <v>64.599999999999994</v>
      </c>
      <c r="G11" s="285">
        <v>20</v>
      </c>
      <c r="H11" s="285">
        <v>25</v>
      </c>
      <c r="I11" s="285">
        <v>15</v>
      </c>
      <c r="J11" s="285"/>
      <c r="K11" s="285"/>
      <c r="L11" s="285"/>
      <c r="M11" s="286" t="e">
        <f>#REF!+E11+F11+G11+H11+I11+J11+O11</f>
        <v>#REF!</v>
      </c>
      <c r="N11" s="287" t="e">
        <f>#REF!+E11+F11+G11+H11+I11+J11+O11</f>
        <v>#REF!</v>
      </c>
      <c r="O11" s="7">
        <f t="shared" si="2"/>
        <v>82.741354408419255</v>
      </c>
      <c r="P11" s="187"/>
    </row>
    <row r="12" spans="1:16">
      <c r="A12" s="289" t="s">
        <v>36</v>
      </c>
      <c r="B12" s="283">
        <f>Калькуляция!E13</f>
        <v>7486.2973028723191</v>
      </c>
      <c r="C12" s="7">
        <v>35</v>
      </c>
      <c r="D12" s="284">
        <v>0.39999999999999997</v>
      </c>
      <c r="E12" s="285">
        <f t="shared" si="0"/>
        <v>2994.5189211489273</v>
      </c>
      <c r="F12" s="285">
        <f t="shared" si="1"/>
        <v>66.5</v>
      </c>
      <c r="G12" s="285">
        <v>20</v>
      </c>
      <c r="H12" s="285">
        <v>25</v>
      </c>
      <c r="I12" s="285">
        <v>15</v>
      </c>
      <c r="J12" s="285"/>
      <c r="K12" s="285"/>
      <c r="L12" s="285"/>
      <c r="M12" s="286" t="e">
        <f>#REF!+E12+F12+G12+H12+I12+J12+O12</f>
        <v>#REF!</v>
      </c>
      <c r="N12" s="287" t="e">
        <f>#REF!+E12+F12+G12+H12+I12+J12+O12</f>
        <v>#REF!</v>
      </c>
      <c r="O12" s="7">
        <f t="shared" si="2"/>
        <v>74.862973028723189</v>
      </c>
      <c r="P12" s="187"/>
    </row>
    <row r="13" spans="1:16">
      <c r="A13" s="289" t="s">
        <v>30</v>
      </c>
      <c r="B13" s="283">
        <f>Калькуляция!E17</f>
        <v>7465.496777467115</v>
      </c>
      <c r="C13" s="7">
        <v>37</v>
      </c>
      <c r="D13" s="284">
        <v>0.39999999999999997</v>
      </c>
      <c r="E13" s="285">
        <f t="shared" si="0"/>
        <v>2986.1987109868455</v>
      </c>
      <c r="F13" s="285">
        <f t="shared" si="1"/>
        <v>70.3</v>
      </c>
      <c r="G13" s="285">
        <v>20</v>
      </c>
      <c r="H13" s="285">
        <v>25</v>
      </c>
      <c r="I13" s="285">
        <v>15</v>
      </c>
      <c r="J13" s="285"/>
      <c r="K13" s="285"/>
      <c r="L13" s="285"/>
      <c r="M13" s="286" t="e">
        <f>#REF!+E13+F13+G13+H13+I13+J13+O13</f>
        <v>#REF!</v>
      </c>
      <c r="N13" s="287" t="e">
        <f>#REF!+E13+F13+G13+H13+I13+J13+O13</f>
        <v>#REF!</v>
      </c>
      <c r="O13" s="7">
        <f t="shared" si="2"/>
        <v>74.65496777467115</v>
      </c>
      <c r="P13" s="187"/>
    </row>
    <row r="14" spans="1:16">
      <c r="A14" s="289" t="s">
        <v>29</v>
      </c>
      <c r="B14" s="283">
        <f>Калькуляция!E18</f>
        <v>8767.4741052993741</v>
      </c>
      <c r="C14" s="7">
        <v>37</v>
      </c>
      <c r="D14" s="284">
        <v>0.39999999999999997</v>
      </c>
      <c r="E14" s="285">
        <f t="shared" si="0"/>
        <v>3506.9896421197495</v>
      </c>
      <c r="F14" s="285">
        <f t="shared" si="1"/>
        <v>70.3</v>
      </c>
      <c r="G14" s="285">
        <v>20</v>
      </c>
      <c r="H14" s="285">
        <v>25</v>
      </c>
      <c r="I14" s="285">
        <v>15</v>
      </c>
      <c r="J14" s="285"/>
      <c r="K14" s="285"/>
      <c r="L14" s="285"/>
      <c r="M14" s="286" t="e">
        <f>#REF!+E14+F14+G14+H14+I14+J14+O14</f>
        <v>#REF!</v>
      </c>
      <c r="N14" s="287" t="e">
        <f>#REF!+E14+F14+G14+H14+I14+J14+O14</f>
        <v>#REF!</v>
      </c>
      <c r="O14" s="7">
        <f t="shared" si="2"/>
        <v>87.674741052993738</v>
      </c>
      <c r="P14" s="187"/>
    </row>
    <row r="15" spans="1:16">
      <c r="A15" s="291" t="s">
        <v>1317</v>
      </c>
      <c r="B15" s="283">
        <f>Калькуляция!E34</f>
        <v>12087.791320511387</v>
      </c>
      <c r="C15" s="7">
        <v>37</v>
      </c>
      <c r="D15" s="284">
        <v>0.45</v>
      </c>
      <c r="E15" s="285">
        <f t="shared" si="0"/>
        <v>5439.5060942301243</v>
      </c>
      <c r="F15" s="285">
        <f t="shared" si="1"/>
        <v>70.3</v>
      </c>
      <c r="G15" s="285">
        <v>20</v>
      </c>
      <c r="H15" s="285">
        <v>25</v>
      </c>
      <c r="I15" s="285">
        <v>15</v>
      </c>
      <c r="J15" s="285"/>
      <c r="K15" s="285"/>
      <c r="L15" s="285"/>
      <c r="M15" s="7"/>
      <c r="N15" s="7"/>
      <c r="O15" s="7">
        <f t="shared" si="2"/>
        <v>120.87791320511387</v>
      </c>
      <c r="P15" s="187"/>
    </row>
    <row r="16" spans="1:16">
      <c r="A16" s="289" t="s">
        <v>1268</v>
      </c>
      <c r="B16" s="283">
        <f>Калькуляция!E7</f>
        <v>4755.073077530782</v>
      </c>
      <c r="C16" s="7">
        <v>38</v>
      </c>
      <c r="D16" s="284">
        <v>0.44999999999999996</v>
      </c>
      <c r="E16" s="285">
        <f t="shared" si="0"/>
        <v>2139.7828848888516</v>
      </c>
      <c r="F16" s="285">
        <f t="shared" si="1"/>
        <v>72.2</v>
      </c>
      <c r="G16" s="285">
        <v>20</v>
      </c>
      <c r="H16" s="285">
        <v>25</v>
      </c>
      <c r="I16" s="285">
        <v>15</v>
      </c>
      <c r="J16" s="285"/>
      <c r="K16" s="285"/>
      <c r="L16" s="285"/>
      <c r="M16" s="286" t="e">
        <f>#REF!+E16+F16+G16+H16+I16+J16+O16</f>
        <v>#REF!</v>
      </c>
      <c r="N16" s="287" t="e">
        <f>#REF!+E16+F16+G16+H16+I16+J16+O16</f>
        <v>#REF!</v>
      </c>
      <c r="O16" s="7">
        <f t="shared" si="2"/>
        <v>47.550730775307819</v>
      </c>
      <c r="P16" s="187"/>
    </row>
    <row r="17" spans="1:16">
      <c r="A17" s="291" t="s">
        <v>1316</v>
      </c>
      <c r="B17" s="283">
        <f>Калькуляция!E33</f>
        <v>12341.181837157959</v>
      </c>
      <c r="C17" s="7">
        <v>42</v>
      </c>
      <c r="D17" s="284">
        <v>0.45</v>
      </c>
      <c r="E17" s="285">
        <f t="shared" si="0"/>
        <v>5553.5318267210814</v>
      </c>
      <c r="F17" s="285">
        <f t="shared" si="1"/>
        <v>79.8</v>
      </c>
      <c r="G17" s="285">
        <v>20</v>
      </c>
      <c r="H17" s="285">
        <v>25</v>
      </c>
      <c r="I17" s="285">
        <v>15</v>
      </c>
      <c r="J17" s="285"/>
      <c r="K17" s="285"/>
      <c r="L17" s="285"/>
      <c r="M17" s="7"/>
      <c r="N17" s="7"/>
      <c r="O17" s="7">
        <f t="shared" si="2"/>
        <v>123.4118183715796</v>
      </c>
      <c r="P17" s="187"/>
    </row>
    <row r="18" spans="1:16">
      <c r="A18" s="289" t="s">
        <v>1266</v>
      </c>
      <c r="B18" s="283">
        <f>Калькуляция!E21</f>
        <v>7814.1939059874694</v>
      </c>
      <c r="C18" s="7">
        <v>44</v>
      </c>
      <c r="D18" s="284">
        <v>0.33999999999999997</v>
      </c>
      <c r="E18" s="285">
        <f t="shared" si="0"/>
        <v>2656.8259280357393</v>
      </c>
      <c r="F18" s="285">
        <f t="shared" si="1"/>
        <v>83.6</v>
      </c>
      <c r="G18" s="285">
        <v>20</v>
      </c>
      <c r="H18" s="285">
        <v>25</v>
      </c>
      <c r="I18" s="285">
        <v>15</v>
      </c>
      <c r="J18" s="285"/>
      <c r="K18" s="285"/>
      <c r="L18" s="285"/>
      <c r="M18" s="286" t="e">
        <f>#REF!+E18+F18+G18+H18+I18+J18+O18</f>
        <v>#REF!</v>
      </c>
      <c r="N18" s="287" t="e">
        <f>#REF!+E18+F18+G18+H18+I18+J18+O18</f>
        <v>#REF!</v>
      </c>
      <c r="O18" s="7">
        <f t="shared" si="2"/>
        <v>78.141939059874701</v>
      </c>
      <c r="P18" s="187"/>
    </row>
    <row r="19" spans="1:16">
      <c r="A19" s="291" t="s">
        <v>1310</v>
      </c>
      <c r="B19" s="283">
        <f>Калькуляция!E28</f>
        <v>7080.6950606123191</v>
      </c>
      <c r="C19" s="7">
        <v>44</v>
      </c>
      <c r="D19" s="284">
        <v>0.39999999999999997</v>
      </c>
      <c r="E19" s="285">
        <f t="shared" si="0"/>
        <v>2832.2780242449276</v>
      </c>
      <c r="F19" s="285">
        <f t="shared" si="1"/>
        <v>83.6</v>
      </c>
      <c r="G19" s="285">
        <v>20</v>
      </c>
      <c r="H19" s="285">
        <v>25</v>
      </c>
      <c r="I19" s="285">
        <v>15</v>
      </c>
      <c r="J19" s="285"/>
      <c r="K19" s="285"/>
      <c r="L19" s="285"/>
      <c r="M19" s="7"/>
      <c r="N19" s="7"/>
      <c r="O19" s="7">
        <f t="shared" si="2"/>
        <v>70.806950606123195</v>
      </c>
      <c r="P19" s="187"/>
    </row>
    <row r="20" spans="1:16">
      <c r="A20" s="289" t="s">
        <v>1269</v>
      </c>
      <c r="B20" s="283">
        <f>Калькуляция!E8</f>
        <v>5538.2856598132375</v>
      </c>
      <c r="C20" s="7">
        <v>45</v>
      </c>
      <c r="D20" s="284">
        <v>0.44999999999999996</v>
      </c>
      <c r="E20" s="285">
        <f t="shared" si="0"/>
        <v>2492.2285469159565</v>
      </c>
      <c r="F20" s="285">
        <f t="shared" si="1"/>
        <v>85.5</v>
      </c>
      <c r="G20" s="285">
        <v>20</v>
      </c>
      <c r="H20" s="285">
        <v>25</v>
      </c>
      <c r="I20" s="285">
        <v>15</v>
      </c>
      <c r="J20" s="285"/>
      <c r="K20" s="285"/>
      <c r="L20" s="285"/>
      <c r="M20" s="286" t="e">
        <f>#REF!+E20+F20+G20+H20+I20+J20+O20</f>
        <v>#REF!</v>
      </c>
      <c r="N20" s="287" t="e">
        <f>#REF!+E20+F20+G20+H20+I20+J20+O20</f>
        <v>#REF!</v>
      </c>
      <c r="O20" s="7">
        <f t="shared" si="2"/>
        <v>55.382856598132378</v>
      </c>
      <c r="P20" s="187"/>
    </row>
    <row r="21" spans="1:16">
      <c r="A21" s="289" t="s">
        <v>1270</v>
      </c>
      <c r="B21" s="283">
        <f>Калькуляция!E9</f>
        <v>6006.4496347950217</v>
      </c>
      <c r="C21" s="7">
        <v>50</v>
      </c>
      <c r="D21" s="284">
        <v>0.44999999999999996</v>
      </c>
      <c r="E21" s="285">
        <f t="shared" si="0"/>
        <v>2702.9023356577595</v>
      </c>
      <c r="F21" s="285">
        <f t="shared" si="1"/>
        <v>95</v>
      </c>
      <c r="G21" s="285">
        <v>20</v>
      </c>
      <c r="H21" s="285">
        <v>25</v>
      </c>
      <c r="I21" s="285">
        <v>15</v>
      </c>
      <c r="J21" s="285"/>
      <c r="K21" s="285"/>
      <c r="L21" s="285"/>
      <c r="M21" s="286" t="e">
        <f>#REF!+E21+F21+G21+H21+I21+J21+O21</f>
        <v>#REF!</v>
      </c>
      <c r="N21" s="287" t="e">
        <f>#REF!+E21+F21+G21+H21+I21+J21+O21</f>
        <v>#REF!</v>
      </c>
      <c r="O21" s="7">
        <f t="shared" si="2"/>
        <v>60.064496347950218</v>
      </c>
      <c r="P21" s="187"/>
    </row>
    <row r="22" spans="1:16">
      <c r="A22" s="289" t="s">
        <v>1265</v>
      </c>
      <c r="B22" s="283">
        <f>Калькуляция!E23</f>
        <v>9768.5110279005821</v>
      </c>
      <c r="C22" s="7">
        <v>55</v>
      </c>
      <c r="D22" s="284">
        <v>0.33999999999999997</v>
      </c>
      <c r="E22" s="285">
        <f t="shared" si="0"/>
        <v>3321.2937494861976</v>
      </c>
      <c r="F22" s="285">
        <f t="shared" si="1"/>
        <v>104.5</v>
      </c>
      <c r="G22" s="285">
        <v>20</v>
      </c>
      <c r="H22" s="285">
        <v>25</v>
      </c>
      <c r="I22" s="285">
        <v>15</v>
      </c>
      <c r="J22" s="285"/>
      <c r="K22" s="285"/>
      <c r="L22" s="285"/>
      <c r="M22" s="286" t="e">
        <f>#REF!+E22+F22+G22+H22+I22+J22+O22</f>
        <v>#REF!</v>
      </c>
      <c r="N22" s="287" t="e">
        <f>#REF!+E22+F22+G22+H22+I22+J22+O22</f>
        <v>#REF!</v>
      </c>
      <c r="O22" s="7">
        <f t="shared" si="2"/>
        <v>97.685110279005826</v>
      </c>
      <c r="P22" s="187"/>
    </row>
    <row r="23" spans="1:16">
      <c r="A23" s="291" t="s">
        <v>1312</v>
      </c>
      <c r="B23" s="283">
        <f>Калькуляция!E30</f>
        <v>8920.6157376614319</v>
      </c>
      <c r="C23" s="7">
        <v>55</v>
      </c>
      <c r="D23" s="284">
        <v>0.39999999999999997</v>
      </c>
      <c r="E23" s="285">
        <f t="shared" si="0"/>
        <v>3568.2462950645727</v>
      </c>
      <c r="F23" s="285">
        <f t="shared" si="1"/>
        <v>104.5</v>
      </c>
      <c r="G23" s="285">
        <v>20</v>
      </c>
      <c r="H23" s="285">
        <v>25</v>
      </c>
      <c r="I23" s="285">
        <v>15</v>
      </c>
      <c r="J23" s="285"/>
      <c r="K23" s="285"/>
      <c r="L23" s="285"/>
      <c r="M23" s="7"/>
      <c r="N23" s="7"/>
      <c r="O23" s="7">
        <f t="shared" si="2"/>
        <v>89.206157376614314</v>
      </c>
      <c r="P23" s="187"/>
    </row>
    <row r="24" spans="1:16">
      <c r="A24" s="289" t="s">
        <v>31</v>
      </c>
      <c r="B24" s="283">
        <f>Калькуляция!E19</f>
        <v>9500.6294280814054</v>
      </c>
      <c r="C24" s="7">
        <v>59</v>
      </c>
      <c r="D24" s="284">
        <v>0.39999999999999997</v>
      </c>
      <c r="E24" s="285">
        <f t="shared" si="0"/>
        <v>3800.2517712325621</v>
      </c>
      <c r="F24" s="285">
        <f t="shared" si="1"/>
        <v>112.1</v>
      </c>
      <c r="G24" s="285">
        <v>20</v>
      </c>
      <c r="H24" s="285">
        <v>25</v>
      </c>
      <c r="I24" s="285">
        <v>15</v>
      </c>
      <c r="J24" s="285"/>
      <c r="K24" s="285"/>
      <c r="L24" s="285"/>
      <c r="M24" s="286" t="e">
        <f>#REF!+E24+F24+G24+H24+I24+J24+O24</f>
        <v>#REF!</v>
      </c>
      <c r="N24" s="287" t="e">
        <f>#REF!+E24+F24+G24+H24+I24+J24+O24</f>
        <v>#REF!</v>
      </c>
      <c r="O24" s="7">
        <f t="shared" si="2"/>
        <v>95.00629428081406</v>
      </c>
      <c r="P24" s="187"/>
    </row>
    <row r="25" spans="1:16">
      <c r="A25" s="289" t="s">
        <v>32</v>
      </c>
      <c r="B25" s="283">
        <f>Калькуляция!E20</f>
        <v>10543.567475617494</v>
      </c>
      <c r="C25" s="7">
        <v>59</v>
      </c>
      <c r="D25" s="284">
        <v>0.39999999999999997</v>
      </c>
      <c r="E25" s="285">
        <f t="shared" si="0"/>
        <v>4217.4269902469969</v>
      </c>
      <c r="F25" s="285">
        <f t="shared" si="1"/>
        <v>112.1</v>
      </c>
      <c r="G25" s="285">
        <v>20</v>
      </c>
      <c r="H25" s="285">
        <v>25</v>
      </c>
      <c r="I25" s="285">
        <v>15</v>
      </c>
      <c r="J25" s="285"/>
      <c r="K25" s="285"/>
      <c r="L25" s="285"/>
      <c r="M25" s="286" t="e">
        <f>#REF!+E25+F25+G25+H25+I25+J25+O25</f>
        <v>#REF!</v>
      </c>
      <c r="N25" s="287" t="e">
        <f>#REF!+E25+F25+G25+H25+I25+J25+O25</f>
        <v>#REF!</v>
      </c>
      <c r="O25" s="7">
        <f t="shared" si="2"/>
        <v>105.43567475617495</v>
      </c>
      <c r="P25" s="187"/>
    </row>
    <row r="26" spans="1:16">
      <c r="A26" s="289" t="s">
        <v>40</v>
      </c>
      <c r="B26" s="283">
        <f>Калькуляция!E25</f>
        <v>9608.4492328580309</v>
      </c>
      <c r="C26" s="7">
        <v>62</v>
      </c>
      <c r="D26" s="284">
        <v>0.39999999999999997</v>
      </c>
      <c r="E26" s="285">
        <f t="shared" si="0"/>
        <v>3843.3796931432121</v>
      </c>
      <c r="F26" s="285">
        <f t="shared" si="1"/>
        <v>117.8</v>
      </c>
      <c r="G26" s="285">
        <v>20</v>
      </c>
      <c r="H26" s="285">
        <v>25</v>
      </c>
      <c r="I26" s="285">
        <v>15</v>
      </c>
      <c r="J26" s="285"/>
      <c r="K26" s="285"/>
      <c r="L26" s="285"/>
      <c r="M26" s="286" t="e">
        <f>#REF!+E26+F26+G26+H26+I26+J26+O26</f>
        <v>#REF!</v>
      </c>
      <c r="N26" s="287" t="e">
        <f>#REF!+E26+F26+G26+H26+I26+J26+O26</f>
        <v>#REF!</v>
      </c>
      <c r="O26" s="7">
        <f t="shared" si="2"/>
        <v>96.084492328580311</v>
      </c>
      <c r="P26" s="187"/>
    </row>
    <row r="27" spans="1:16">
      <c r="A27" s="289" t="s">
        <v>41</v>
      </c>
      <c r="B27" s="283">
        <f>Калькуляция!E24</f>
        <v>9149.4401895775409</v>
      </c>
      <c r="C27" s="7">
        <v>64</v>
      </c>
      <c r="D27" s="284">
        <v>0.39999999999999997</v>
      </c>
      <c r="E27" s="285">
        <f t="shared" si="0"/>
        <v>3659.776075831016</v>
      </c>
      <c r="F27" s="285">
        <f t="shared" si="1"/>
        <v>121.6</v>
      </c>
      <c r="G27" s="285">
        <v>20</v>
      </c>
      <c r="H27" s="285">
        <v>25</v>
      </c>
      <c r="I27" s="285">
        <v>15</v>
      </c>
      <c r="J27" s="285"/>
      <c r="K27" s="285"/>
      <c r="L27" s="285"/>
      <c r="M27" s="286" t="e">
        <f>#REF!+E27+F27+G27+H27+I27+J27+O27</f>
        <v>#REF!</v>
      </c>
      <c r="N27" s="287" t="e">
        <f>#REF!+E27+F27+G27+H27+I27+J27+O27</f>
        <v>#REF!</v>
      </c>
      <c r="O27" s="7">
        <f t="shared" si="2"/>
        <v>91.494401895775411</v>
      </c>
      <c r="P27" s="187"/>
    </row>
    <row r="28" spans="1:16">
      <c r="A28" s="289" t="s">
        <v>1267</v>
      </c>
      <c r="B28" s="283">
        <f>Калькуляция!E22</f>
        <v>9152.8146369900751</v>
      </c>
      <c r="C28" s="7">
        <v>65</v>
      </c>
      <c r="D28" s="284">
        <v>0.33999999999999997</v>
      </c>
      <c r="E28" s="285">
        <f t="shared" si="0"/>
        <v>3111.956976576625</v>
      </c>
      <c r="F28" s="285">
        <f t="shared" si="1"/>
        <v>123.5</v>
      </c>
      <c r="G28" s="285">
        <v>20</v>
      </c>
      <c r="H28" s="285">
        <v>25</v>
      </c>
      <c r="I28" s="285">
        <v>15</v>
      </c>
      <c r="J28" s="285"/>
      <c r="K28" s="285"/>
      <c r="L28" s="285"/>
      <c r="M28" s="286" t="e">
        <f>#REF!+E28+F28+G28+H28+I28+J28+O28</f>
        <v>#REF!</v>
      </c>
      <c r="N28" s="287" t="e">
        <f>#REF!+E28+F28+G28+H28+I28+J28+O28</f>
        <v>#REF!</v>
      </c>
      <c r="O28" s="7">
        <f t="shared" si="2"/>
        <v>91.528146369900753</v>
      </c>
      <c r="P28" s="187"/>
    </row>
    <row r="29" spans="1:16">
      <c r="A29" s="291" t="s">
        <v>1311</v>
      </c>
      <c r="B29" s="283">
        <f>Калькуляция!E29</f>
        <v>8426.4492426581546</v>
      </c>
      <c r="C29" s="7">
        <v>65</v>
      </c>
      <c r="D29" s="284">
        <v>0.39999999999999997</v>
      </c>
      <c r="E29" s="285">
        <f t="shared" si="0"/>
        <v>3370.5796970632614</v>
      </c>
      <c r="F29" s="285">
        <f t="shared" si="1"/>
        <v>123.5</v>
      </c>
      <c r="G29" s="285">
        <v>20</v>
      </c>
      <c r="H29" s="285">
        <v>25</v>
      </c>
      <c r="I29" s="285">
        <v>15</v>
      </c>
      <c r="J29" s="285"/>
      <c r="K29" s="285"/>
      <c r="L29" s="285"/>
      <c r="M29" s="7"/>
      <c r="N29" s="7"/>
      <c r="O29" s="7">
        <f t="shared" si="2"/>
        <v>84.264492426581555</v>
      </c>
      <c r="P29" s="187"/>
    </row>
    <row r="30" spans="1:16">
      <c r="A30" s="291" t="s">
        <v>1315</v>
      </c>
      <c r="B30" s="283">
        <f>Калькуляция!E32</f>
        <v>18800.428438638686</v>
      </c>
      <c r="C30" s="7">
        <v>65</v>
      </c>
      <c r="D30" s="284">
        <v>0.45</v>
      </c>
      <c r="E30" s="285">
        <f t="shared" si="0"/>
        <v>8460.1927973874099</v>
      </c>
      <c r="F30" s="285">
        <f t="shared" si="1"/>
        <v>123.5</v>
      </c>
      <c r="G30" s="285">
        <v>20</v>
      </c>
      <c r="H30" s="285">
        <v>25</v>
      </c>
      <c r="I30" s="285">
        <v>15</v>
      </c>
      <c r="J30" s="285"/>
      <c r="K30" s="285"/>
      <c r="L30" s="285"/>
      <c r="M30" s="7"/>
      <c r="N30" s="7"/>
      <c r="O30" s="7">
        <f t="shared" si="2"/>
        <v>188.00428438638687</v>
      </c>
      <c r="P30" s="187"/>
    </row>
    <row r="31" spans="1:16">
      <c r="A31" s="289" t="s">
        <v>1271</v>
      </c>
      <c r="B31" s="283">
        <f>Калькуляция!E10</f>
        <v>7836.3058680527556</v>
      </c>
      <c r="C31" s="7">
        <v>72</v>
      </c>
      <c r="D31" s="284">
        <v>0.44999999999999996</v>
      </c>
      <c r="E31" s="285">
        <f t="shared" si="0"/>
        <v>3526.3376406237398</v>
      </c>
      <c r="F31" s="285">
        <f t="shared" si="1"/>
        <v>136.79999999999998</v>
      </c>
      <c r="G31" s="285">
        <v>20</v>
      </c>
      <c r="H31" s="285">
        <v>25</v>
      </c>
      <c r="I31" s="285">
        <v>15</v>
      </c>
      <c r="J31" s="285"/>
      <c r="K31" s="285"/>
      <c r="L31" s="285"/>
      <c r="M31" s="286" t="e">
        <f>#REF!+E31+F31+G31+H31+I31+J31+O31</f>
        <v>#REF!</v>
      </c>
      <c r="N31" s="287" t="e">
        <f>#REF!+E31+F31+G31+H31+I31+J31+O31</f>
        <v>#REF!</v>
      </c>
      <c r="O31" s="7">
        <f t="shared" si="2"/>
        <v>78.363058680527558</v>
      </c>
    </row>
    <row r="32" spans="1:16">
      <c r="A32" s="291" t="s">
        <v>1318</v>
      </c>
      <c r="B32" s="283">
        <f>Калькуляция!E35</f>
        <v>22478.05129937247</v>
      </c>
      <c r="C32" s="7">
        <v>88</v>
      </c>
      <c r="D32" s="284">
        <v>0.45</v>
      </c>
      <c r="E32" s="285">
        <f t="shared" si="0"/>
        <v>10115.123084717612</v>
      </c>
      <c r="F32" s="285">
        <f t="shared" si="1"/>
        <v>167.2</v>
      </c>
      <c r="G32" s="285">
        <v>20</v>
      </c>
      <c r="H32" s="285">
        <v>25</v>
      </c>
      <c r="I32" s="285">
        <v>15</v>
      </c>
      <c r="J32" s="285"/>
      <c r="K32" s="285"/>
      <c r="L32" s="285"/>
      <c r="M32" s="7"/>
      <c r="N32" s="7"/>
      <c r="O32" s="7">
        <f t="shared" si="2"/>
        <v>224.7805129937247</v>
      </c>
    </row>
    <row r="33" spans="1:15">
      <c r="A33" s="289" t="s">
        <v>119</v>
      </c>
      <c r="B33" s="283">
        <f>Калькуляция!E26</f>
        <v>31197.98671764629</v>
      </c>
      <c r="C33" s="7">
        <v>348</v>
      </c>
      <c r="D33" s="288">
        <v>0.39999999999999997</v>
      </c>
      <c r="E33" s="285">
        <f t="shared" si="0"/>
        <v>12479.194687058514</v>
      </c>
      <c r="F33" s="285">
        <f t="shared" si="1"/>
        <v>661.19999999999993</v>
      </c>
      <c r="G33" s="285">
        <v>20</v>
      </c>
      <c r="H33" s="285">
        <v>25</v>
      </c>
      <c r="I33" s="285">
        <v>15</v>
      </c>
      <c r="J33" s="285"/>
      <c r="K33" s="285"/>
      <c r="L33" s="285"/>
      <c r="M33" s="286" t="e">
        <f>#REF!+E33+F33+G33+H33+I33+J33+O33</f>
        <v>#REF!</v>
      </c>
      <c r="N33" s="287" t="e">
        <f>#REF!+E33+F33+G33+H33+I33+J33+O33</f>
        <v>#REF!</v>
      </c>
      <c r="O33" s="7">
        <f t="shared" si="2"/>
        <v>311.9798671764629</v>
      </c>
    </row>
    <row r="34" spans="1:15">
      <c r="A34" s="290" t="s">
        <v>121</v>
      </c>
      <c r="B34" s="283">
        <f>Калькуляция!E27</f>
        <v>33611.280233777616</v>
      </c>
      <c r="C34" s="7">
        <v>348</v>
      </c>
      <c r="D34" s="284">
        <v>0.39999999999999997</v>
      </c>
      <c r="E34" s="285">
        <f t="shared" si="0"/>
        <v>13444.512093511044</v>
      </c>
      <c r="F34" s="285">
        <f t="shared" si="1"/>
        <v>661.19999999999993</v>
      </c>
      <c r="G34" s="285">
        <v>20</v>
      </c>
      <c r="H34" s="285">
        <v>25</v>
      </c>
      <c r="I34" s="285">
        <v>15</v>
      </c>
      <c r="J34" s="285"/>
      <c r="K34" s="285"/>
      <c r="L34" s="285"/>
      <c r="M34" s="286" t="e">
        <f>#REF!+E34+F34+G34+H34+I34+J34+O34</f>
        <v>#REF!</v>
      </c>
      <c r="N34" s="287" t="e">
        <f>#REF!+E34+F34+G34+H34+I34+J34+O34</f>
        <v>#REF!</v>
      </c>
      <c r="O34" s="7">
        <f t="shared" si="2"/>
        <v>336.11280233777615</v>
      </c>
    </row>
    <row r="35" spans="1:15">
      <c r="A35" s="291" t="s">
        <v>1314</v>
      </c>
      <c r="B35" s="283">
        <f>Калькуляция!E31</f>
        <v>42907.58182260883</v>
      </c>
      <c r="C35" s="7">
        <v>348</v>
      </c>
      <c r="D35" s="284">
        <v>0.45</v>
      </c>
      <c r="E35" s="285">
        <f t="shared" si="0"/>
        <v>19308.411820173973</v>
      </c>
      <c r="F35" s="285">
        <f t="shared" si="1"/>
        <v>661.19999999999993</v>
      </c>
      <c r="G35" s="285">
        <v>20</v>
      </c>
      <c r="H35" s="285">
        <v>25</v>
      </c>
      <c r="I35" s="285">
        <v>15</v>
      </c>
      <c r="J35" s="285"/>
      <c r="K35" s="285"/>
      <c r="L35" s="285"/>
      <c r="M35" s="7"/>
      <c r="N35" s="7"/>
      <c r="O35" s="7">
        <f t="shared" si="2"/>
        <v>429.0758182260883</v>
      </c>
    </row>
  </sheetData>
  <sortState xmlns:xlrd2="http://schemas.microsoft.com/office/spreadsheetml/2017/richdata2" ref="A2:O35">
    <sortCondition ref="C1:C35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7A16D-F5B2-3249-BD47-A569B23B55D4}">
  <dimension ref="A2:E31"/>
  <sheetViews>
    <sheetView workbookViewId="0">
      <selection activeCell="G22" sqref="G22"/>
    </sheetView>
  </sheetViews>
  <sheetFormatPr baseColWidth="10" defaultRowHeight="16"/>
  <cols>
    <col min="1" max="1" width="12.83203125" bestFit="1" customWidth="1"/>
    <col min="3" max="3" width="29.1640625" bestFit="1" customWidth="1"/>
  </cols>
  <sheetData>
    <row r="2" spans="1:5">
      <c r="A2" s="1" t="s">
        <v>1344</v>
      </c>
      <c r="B2" s="1" t="s">
        <v>5</v>
      </c>
      <c r="C2" s="1" t="s">
        <v>5</v>
      </c>
      <c r="D2" s="1">
        <v>78</v>
      </c>
    </row>
    <row r="3" spans="1:5">
      <c r="A3" s="1" t="s">
        <v>1344</v>
      </c>
      <c r="B3" s="1" t="s">
        <v>5</v>
      </c>
      <c r="C3" s="1" t="s">
        <v>12</v>
      </c>
      <c r="D3" s="1">
        <v>82</v>
      </c>
    </row>
    <row r="4" spans="1:5">
      <c r="A4" s="1" t="s">
        <v>1344</v>
      </c>
      <c r="B4" s="1" t="s">
        <v>5</v>
      </c>
      <c r="C4" s="1" t="s">
        <v>17</v>
      </c>
      <c r="D4" s="1">
        <v>82</v>
      </c>
    </row>
    <row r="5" spans="1:5">
      <c r="A5" s="1" t="s">
        <v>1344</v>
      </c>
      <c r="B5" s="1" t="s">
        <v>5</v>
      </c>
      <c r="C5" s="1" t="s">
        <v>26</v>
      </c>
      <c r="D5" s="1">
        <v>91</v>
      </c>
    </row>
    <row r="6" spans="1:5">
      <c r="A6" s="1" t="s">
        <v>1344</v>
      </c>
      <c r="B6" s="1" t="s">
        <v>5</v>
      </c>
      <c r="C6" s="1" t="s">
        <v>10</v>
      </c>
      <c r="D6" s="1">
        <v>92</v>
      </c>
    </row>
    <row r="7" spans="1:5">
      <c r="A7" s="1" t="s">
        <v>1344</v>
      </c>
      <c r="B7" s="1" t="s">
        <v>5</v>
      </c>
      <c r="C7" s="1" t="s">
        <v>20</v>
      </c>
      <c r="D7" s="1">
        <v>93</v>
      </c>
    </row>
    <row r="8" spans="1:5">
      <c r="A8" s="1" t="s">
        <v>1344</v>
      </c>
      <c r="B8" s="1" t="s">
        <v>5</v>
      </c>
      <c r="C8" s="1" t="s">
        <v>23</v>
      </c>
      <c r="D8" s="1">
        <v>94</v>
      </c>
    </row>
    <row r="9" spans="1:5">
      <c r="A9" s="1" t="s">
        <v>1344</v>
      </c>
      <c r="B9" s="1" t="s">
        <v>5</v>
      </c>
      <c r="C9" s="1" t="s">
        <v>24</v>
      </c>
      <c r="D9" s="1">
        <v>94</v>
      </c>
    </row>
    <row r="10" spans="1:5">
      <c r="A10" s="1" t="s">
        <v>1344</v>
      </c>
      <c r="B10" s="1" t="s">
        <v>5</v>
      </c>
      <c r="C10" s="1" t="s">
        <v>11</v>
      </c>
      <c r="D10" s="1">
        <v>94</v>
      </c>
    </row>
    <row r="11" spans="1:5">
      <c r="A11" s="1" t="s">
        <v>1344</v>
      </c>
      <c r="B11" s="1" t="s">
        <v>5</v>
      </c>
      <c r="C11" s="1" t="s">
        <v>18</v>
      </c>
      <c r="D11" s="1">
        <v>95</v>
      </c>
    </row>
    <row r="12" spans="1:5">
      <c r="A12" s="1" t="s">
        <v>1344</v>
      </c>
      <c r="B12" s="1" t="s">
        <v>5</v>
      </c>
      <c r="C12" s="1" t="s">
        <v>77</v>
      </c>
      <c r="D12" s="1">
        <v>97</v>
      </c>
    </row>
    <row r="13" spans="1:5" ht="19">
      <c r="A13" s="1" t="s">
        <v>1344</v>
      </c>
      <c r="B13" s="1" t="s">
        <v>5</v>
      </c>
      <c r="C13" s="1" t="s">
        <v>9</v>
      </c>
      <c r="D13" s="1">
        <v>102</v>
      </c>
      <c r="E13" s="278" t="s">
        <v>1352</v>
      </c>
    </row>
    <row r="14" spans="1:5">
      <c r="A14" s="1" t="s">
        <v>1344</v>
      </c>
      <c r="B14" s="1" t="s">
        <v>5</v>
      </c>
      <c r="C14" s="1" t="s">
        <v>7</v>
      </c>
      <c r="D14" s="1">
        <v>111</v>
      </c>
    </row>
    <row r="15" spans="1:5">
      <c r="A15" s="1" t="s">
        <v>1344</v>
      </c>
      <c r="B15" s="1" t="s">
        <v>5</v>
      </c>
      <c r="C15" s="1" t="s">
        <v>8</v>
      </c>
      <c r="D15" s="1">
        <v>112</v>
      </c>
    </row>
    <row r="16" spans="1:5">
      <c r="A16" s="1" t="s">
        <v>1344</v>
      </c>
      <c r="B16" s="1" t="s">
        <v>5</v>
      </c>
      <c r="C16" s="1" t="s">
        <v>19</v>
      </c>
      <c r="D16" s="1">
        <v>126</v>
      </c>
    </row>
    <row r="17" spans="1:5">
      <c r="A17" s="1" t="s">
        <v>1344</v>
      </c>
      <c r="B17" s="1" t="s">
        <v>5</v>
      </c>
      <c r="C17" s="1" t="s">
        <v>16</v>
      </c>
      <c r="D17" s="1">
        <v>126</v>
      </c>
    </row>
    <row r="18" spans="1:5">
      <c r="A18" s="1" t="s">
        <v>1344</v>
      </c>
      <c r="B18" s="1" t="s">
        <v>5</v>
      </c>
      <c r="C18" s="1" t="s">
        <v>15</v>
      </c>
      <c r="D18" s="1">
        <v>127</v>
      </c>
    </row>
    <row r="19" spans="1:5">
      <c r="A19" s="1" t="s">
        <v>1344</v>
      </c>
      <c r="B19" s="1" t="s">
        <v>5</v>
      </c>
      <c r="C19" s="1" t="s">
        <v>25</v>
      </c>
      <c r="D19" s="1">
        <v>127</v>
      </c>
    </row>
    <row r="20" spans="1:5">
      <c r="A20" s="1" t="s">
        <v>1344</v>
      </c>
      <c r="B20" s="1" t="s">
        <v>5</v>
      </c>
      <c r="C20" s="1" t="s">
        <v>1337</v>
      </c>
      <c r="D20" s="1">
        <v>133</v>
      </c>
    </row>
    <row r="21" spans="1:5">
      <c r="A21" s="1" t="s">
        <v>1344</v>
      </c>
      <c r="B21" s="1" t="s">
        <v>5</v>
      </c>
      <c r="C21" s="1" t="s">
        <v>80</v>
      </c>
      <c r="D21" s="1">
        <v>133</v>
      </c>
    </row>
    <row r="22" spans="1:5" ht="19">
      <c r="A22" s="1" t="s">
        <v>1344</v>
      </c>
      <c r="B22" s="1" t="s">
        <v>5</v>
      </c>
      <c r="C22" s="1" t="s">
        <v>1338</v>
      </c>
      <c r="D22" s="1">
        <v>133</v>
      </c>
      <c r="E22" s="278" t="s">
        <v>1353</v>
      </c>
    </row>
    <row r="23" spans="1:5">
      <c r="A23" s="1" t="s">
        <v>1344</v>
      </c>
      <c r="B23" s="1" t="s">
        <v>5</v>
      </c>
      <c r="C23" s="1" t="s">
        <v>21</v>
      </c>
      <c r="D23" s="1">
        <v>146</v>
      </c>
    </row>
    <row r="24" spans="1:5">
      <c r="A24" s="1" t="s">
        <v>1344</v>
      </c>
      <c r="B24" s="1" t="s">
        <v>5</v>
      </c>
      <c r="C24" s="1" t="s">
        <v>22</v>
      </c>
      <c r="D24" s="1">
        <v>146</v>
      </c>
    </row>
    <row r="25" spans="1:5">
      <c r="A25" s="1" t="s">
        <v>1344</v>
      </c>
      <c r="B25" s="1" t="s">
        <v>5</v>
      </c>
      <c r="C25" s="1" t="s">
        <v>13</v>
      </c>
      <c r="D25" s="1">
        <v>147</v>
      </c>
    </row>
    <row r="26" spans="1:5">
      <c r="A26" s="1" t="s">
        <v>1344</v>
      </c>
      <c r="B26" s="1" t="s">
        <v>5</v>
      </c>
      <c r="C26" s="1" t="s">
        <v>14</v>
      </c>
      <c r="D26" s="1">
        <v>147</v>
      </c>
    </row>
    <row r="27" spans="1:5">
      <c r="A27" s="1" t="s">
        <v>1344</v>
      </c>
      <c r="B27" s="1" t="s">
        <v>5</v>
      </c>
      <c r="C27" s="1" t="s">
        <v>79</v>
      </c>
      <c r="D27" s="1">
        <v>154</v>
      </c>
    </row>
    <row r="28" spans="1:5">
      <c r="A28" s="1" t="s">
        <v>1344</v>
      </c>
      <c r="B28" s="1" t="s">
        <v>5</v>
      </c>
      <c r="C28" s="1" t="s">
        <v>78</v>
      </c>
      <c r="D28" s="1">
        <v>154</v>
      </c>
    </row>
    <row r="29" spans="1:5">
      <c r="A29" s="1" t="s">
        <v>1344</v>
      </c>
      <c r="B29" s="1" t="s">
        <v>5</v>
      </c>
      <c r="C29" s="1" t="s">
        <v>1339</v>
      </c>
      <c r="D29" s="1">
        <v>154</v>
      </c>
    </row>
    <row r="30" spans="1:5">
      <c r="A30" s="1" t="s">
        <v>1344</v>
      </c>
      <c r="B30" s="1" t="s">
        <v>5</v>
      </c>
      <c r="C30" s="1" t="s">
        <v>1340</v>
      </c>
      <c r="D30" s="1">
        <v>154</v>
      </c>
    </row>
    <row r="31" spans="1:5" ht="19">
      <c r="A31" s="1" t="s">
        <v>1344</v>
      </c>
      <c r="B31" s="1" t="s">
        <v>5</v>
      </c>
      <c r="C31" s="1" t="s">
        <v>6</v>
      </c>
      <c r="D31" s="1">
        <v>206</v>
      </c>
      <c r="E31" s="278" t="s">
        <v>1354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9A6C0-EAC5-9C4F-A355-0B564FB883AD}">
  <dimension ref="A1:E30"/>
  <sheetViews>
    <sheetView workbookViewId="0">
      <selection activeCell="E31" sqref="E31"/>
    </sheetView>
  </sheetViews>
  <sheetFormatPr baseColWidth="10" defaultRowHeight="16"/>
  <cols>
    <col min="1" max="1" width="12.83203125" bestFit="1" customWidth="1"/>
    <col min="3" max="3" width="29.1640625" bestFit="1" customWidth="1"/>
  </cols>
  <sheetData>
    <row r="1" spans="1:5">
      <c r="A1" t="s">
        <v>1336</v>
      </c>
      <c r="B1" t="s">
        <v>5</v>
      </c>
      <c r="C1" t="s">
        <v>5</v>
      </c>
      <c r="D1">
        <v>107</v>
      </c>
    </row>
    <row r="2" spans="1:5">
      <c r="A2" t="s">
        <v>1336</v>
      </c>
      <c r="B2" t="s">
        <v>5</v>
      </c>
      <c r="C2" t="s">
        <v>12</v>
      </c>
      <c r="D2">
        <v>112</v>
      </c>
    </row>
    <row r="3" spans="1:5">
      <c r="A3" t="s">
        <v>1336</v>
      </c>
      <c r="B3" t="s">
        <v>5</v>
      </c>
      <c r="C3" t="s">
        <v>17</v>
      </c>
      <c r="D3">
        <v>112</v>
      </c>
    </row>
    <row r="4" spans="1:5">
      <c r="A4" t="s">
        <v>1336</v>
      </c>
      <c r="B4" t="s">
        <v>5</v>
      </c>
      <c r="C4" t="s">
        <v>11</v>
      </c>
      <c r="D4">
        <v>146</v>
      </c>
    </row>
    <row r="5" spans="1:5">
      <c r="A5" t="s">
        <v>1336</v>
      </c>
      <c r="B5" t="s">
        <v>5</v>
      </c>
      <c r="C5" t="s">
        <v>23</v>
      </c>
      <c r="D5">
        <v>149</v>
      </c>
    </row>
    <row r="6" spans="1:5">
      <c r="A6" t="s">
        <v>1336</v>
      </c>
      <c r="B6" t="s">
        <v>5</v>
      </c>
      <c r="C6" t="s">
        <v>24</v>
      </c>
      <c r="D6">
        <v>149</v>
      </c>
    </row>
    <row r="7" spans="1:5">
      <c r="A7" t="s">
        <v>1336</v>
      </c>
      <c r="B7" t="s">
        <v>5</v>
      </c>
      <c r="C7" t="s">
        <v>20</v>
      </c>
      <c r="D7">
        <v>153</v>
      </c>
    </row>
    <row r="8" spans="1:5">
      <c r="A8" t="s">
        <v>1336</v>
      </c>
      <c r="B8" t="s">
        <v>5</v>
      </c>
      <c r="C8" t="s">
        <v>18</v>
      </c>
      <c r="D8">
        <v>158</v>
      </c>
    </row>
    <row r="9" spans="1:5">
      <c r="A9" t="s">
        <v>1336</v>
      </c>
      <c r="B9" t="s">
        <v>5</v>
      </c>
      <c r="C9" t="s">
        <v>10</v>
      </c>
      <c r="D9">
        <v>159</v>
      </c>
    </row>
    <row r="10" spans="1:5">
      <c r="A10" t="s">
        <v>1336</v>
      </c>
      <c r="B10" t="s">
        <v>5</v>
      </c>
      <c r="C10" t="s">
        <v>26</v>
      </c>
      <c r="D10">
        <v>159</v>
      </c>
    </row>
    <row r="11" spans="1:5">
      <c r="A11" t="s">
        <v>1336</v>
      </c>
      <c r="B11" t="s">
        <v>5</v>
      </c>
      <c r="C11" t="s">
        <v>77</v>
      </c>
      <c r="D11">
        <v>167</v>
      </c>
    </row>
    <row r="12" spans="1:5">
      <c r="A12" t="s">
        <v>1336</v>
      </c>
      <c r="B12" t="s">
        <v>5</v>
      </c>
      <c r="C12" t="s">
        <v>9</v>
      </c>
      <c r="D12">
        <v>184</v>
      </c>
      <c r="E12" t="s">
        <v>1352</v>
      </c>
    </row>
    <row r="13" spans="1:5">
      <c r="A13" t="s">
        <v>1336</v>
      </c>
      <c r="B13" t="s">
        <v>5</v>
      </c>
      <c r="C13" t="s">
        <v>8</v>
      </c>
      <c r="D13">
        <v>199</v>
      </c>
    </row>
    <row r="14" spans="1:5">
      <c r="A14" t="s">
        <v>1336</v>
      </c>
      <c r="B14" t="s">
        <v>5</v>
      </c>
      <c r="C14" t="s">
        <v>7</v>
      </c>
      <c r="D14">
        <v>206</v>
      </c>
    </row>
    <row r="15" spans="1:5">
      <c r="A15" t="s">
        <v>1336</v>
      </c>
      <c r="B15" t="s">
        <v>5</v>
      </c>
      <c r="C15" t="s">
        <v>16</v>
      </c>
      <c r="D15">
        <v>209</v>
      </c>
    </row>
    <row r="16" spans="1:5">
      <c r="A16" t="s">
        <v>1336</v>
      </c>
      <c r="B16" t="s">
        <v>5</v>
      </c>
      <c r="C16" t="s">
        <v>19</v>
      </c>
      <c r="D16">
        <v>213</v>
      </c>
    </row>
    <row r="17" spans="1:5">
      <c r="A17" t="s">
        <v>1336</v>
      </c>
      <c r="B17" t="s">
        <v>5</v>
      </c>
      <c r="C17" t="s">
        <v>25</v>
      </c>
      <c r="D17">
        <v>216</v>
      </c>
    </row>
    <row r="18" spans="1:5">
      <c r="A18" t="s">
        <v>1336</v>
      </c>
      <c r="B18" t="s">
        <v>5</v>
      </c>
      <c r="C18" t="s">
        <v>15</v>
      </c>
      <c r="D18">
        <v>219</v>
      </c>
    </row>
    <row r="19" spans="1:5">
      <c r="A19" t="s">
        <v>1336</v>
      </c>
      <c r="B19" t="s">
        <v>5</v>
      </c>
      <c r="C19" t="s">
        <v>1337</v>
      </c>
      <c r="D19">
        <v>220</v>
      </c>
    </row>
    <row r="20" spans="1:5">
      <c r="A20" t="s">
        <v>1336</v>
      </c>
      <c r="B20" t="s">
        <v>5</v>
      </c>
      <c r="C20" t="s">
        <v>80</v>
      </c>
      <c r="D20">
        <v>220</v>
      </c>
    </row>
    <row r="21" spans="1:5">
      <c r="A21" t="s">
        <v>1336</v>
      </c>
      <c r="B21" t="s">
        <v>5</v>
      </c>
      <c r="C21" t="s">
        <v>1338</v>
      </c>
      <c r="D21">
        <v>220</v>
      </c>
      <c r="E21" t="s">
        <v>1353</v>
      </c>
    </row>
    <row r="22" spans="1:5">
      <c r="A22" t="s">
        <v>1336</v>
      </c>
      <c r="B22" t="s">
        <v>5</v>
      </c>
      <c r="C22" t="s">
        <v>22</v>
      </c>
      <c r="D22">
        <v>247</v>
      </c>
    </row>
    <row r="23" spans="1:5">
      <c r="A23" t="s">
        <v>1336</v>
      </c>
      <c r="B23" t="s">
        <v>5</v>
      </c>
      <c r="C23" t="s">
        <v>21</v>
      </c>
      <c r="D23">
        <v>251</v>
      </c>
    </row>
    <row r="24" spans="1:5">
      <c r="A24" t="s">
        <v>1336</v>
      </c>
      <c r="B24" t="s">
        <v>5</v>
      </c>
      <c r="C24" t="s">
        <v>14</v>
      </c>
      <c r="D24">
        <v>251</v>
      </c>
    </row>
    <row r="25" spans="1:5">
      <c r="A25" t="s">
        <v>1336</v>
      </c>
      <c r="B25" t="s">
        <v>5</v>
      </c>
      <c r="C25" t="s">
        <v>13</v>
      </c>
      <c r="D25">
        <v>254</v>
      </c>
    </row>
    <row r="26" spans="1:5">
      <c r="A26" t="s">
        <v>1336</v>
      </c>
      <c r="B26" t="s">
        <v>5</v>
      </c>
      <c r="C26" t="s">
        <v>78</v>
      </c>
      <c r="D26">
        <v>260</v>
      </c>
    </row>
    <row r="27" spans="1:5">
      <c r="A27" t="s">
        <v>1336</v>
      </c>
      <c r="B27" t="s">
        <v>5</v>
      </c>
      <c r="C27" t="s">
        <v>79</v>
      </c>
      <c r="D27">
        <v>264</v>
      </c>
    </row>
    <row r="28" spans="1:5">
      <c r="A28" t="s">
        <v>1336</v>
      </c>
      <c r="B28" t="s">
        <v>5</v>
      </c>
      <c r="C28" t="s">
        <v>1339</v>
      </c>
      <c r="D28">
        <v>264</v>
      </c>
    </row>
    <row r="29" spans="1:5">
      <c r="A29" t="s">
        <v>1336</v>
      </c>
      <c r="B29" t="s">
        <v>5</v>
      </c>
      <c r="C29" t="s">
        <v>1340</v>
      </c>
      <c r="D29">
        <v>264</v>
      </c>
    </row>
    <row r="30" spans="1:5">
      <c r="A30" t="s">
        <v>1336</v>
      </c>
      <c r="B30" t="s">
        <v>5</v>
      </c>
      <c r="C30" t="s">
        <v>6</v>
      </c>
      <c r="D30">
        <v>357</v>
      </c>
      <c r="E30" t="s">
        <v>1354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0E863-712A-7446-A77D-690621A65FE7}">
  <dimension ref="A1:E30"/>
  <sheetViews>
    <sheetView workbookViewId="0">
      <selection activeCell="E31" sqref="E31"/>
    </sheetView>
  </sheetViews>
  <sheetFormatPr baseColWidth="10" defaultRowHeight="16"/>
  <cols>
    <col min="1" max="1" width="12.83203125" bestFit="1" customWidth="1"/>
    <col min="3" max="3" width="29.1640625" bestFit="1" customWidth="1"/>
  </cols>
  <sheetData>
    <row r="1" spans="1:5">
      <c r="A1" t="s">
        <v>1341</v>
      </c>
      <c r="B1" t="s">
        <v>5</v>
      </c>
      <c r="C1" t="s">
        <v>5</v>
      </c>
      <c r="D1">
        <v>112</v>
      </c>
    </row>
    <row r="2" spans="1:5">
      <c r="A2" t="s">
        <v>1341</v>
      </c>
      <c r="B2" t="s">
        <v>5</v>
      </c>
      <c r="C2" t="s">
        <v>12</v>
      </c>
      <c r="D2">
        <v>118</v>
      </c>
    </row>
    <row r="3" spans="1:5">
      <c r="A3" t="s">
        <v>1341</v>
      </c>
      <c r="B3" t="s">
        <v>5</v>
      </c>
      <c r="C3" t="s">
        <v>17</v>
      </c>
      <c r="D3">
        <v>118</v>
      </c>
    </row>
    <row r="4" spans="1:5">
      <c r="A4" t="s">
        <v>1341</v>
      </c>
      <c r="B4" t="s">
        <v>5</v>
      </c>
      <c r="C4" t="s">
        <v>11</v>
      </c>
      <c r="D4">
        <v>153</v>
      </c>
    </row>
    <row r="5" spans="1:5">
      <c r="A5" t="s">
        <v>1341</v>
      </c>
      <c r="B5" t="s">
        <v>5</v>
      </c>
      <c r="C5" t="s">
        <v>23</v>
      </c>
      <c r="D5">
        <v>156</v>
      </c>
    </row>
    <row r="6" spans="1:5">
      <c r="A6" t="s">
        <v>1341</v>
      </c>
      <c r="B6" t="s">
        <v>5</v>
      </c>
      <c r="C6" t="s">
        <v>24</v>
      </c>
      <c r="D6">
        <v>156</v>
      </c>
    </row>
    <row r="7" spans="1:5">
      <c r="A7" t="s">
        <v>1341</v>
      </c>
      <c r="B7" t="s">
        <v>5</v>
      </c>
      <c r="C7" t="s">
        <v>20</v>
      </c>
      <c r="D7">
        <v>160</v>
      </c>
    </row>
    <row r="8" spans="1:5">
      <c r="A8" t="s">
        <v>1341</v>
      </c>
      <c r="B8" t="s">
        <v>5</v>
      </c>
      <c r="C8" t="s">
        <v>10</v>
      </c>
      <c r="D8">
        <v>167</v>
      </c>
    </row>
    <row r="9" spans="1:5">
      <c r="A9" t="s">
        <v>1341</v>
      </c>
      <c r="B9" t="s">
        <v>5</v>
      </c>
      <c r="C9" t="s">
        <v>26</v>
      </c>
      <c r="D9">
        <v>167</v>
      </c>
    </row>
    <row r="10" spans="1:5">
      <c r="A10" t="s">
        <v>1341</v>
      </c>
      <c r="B10" t="s">
        <v>5</v>
      </c>
      <c r="C10" t="s">
        <v>18</v>
      </c>
      <c r="D10">
        <v>167</v>
      </c>
    </row>
    <row r="11" spans="1:5">
      <c r="A11" t="s">
        <v>1341</v>
      </c>
      <c r="B11" t="s">
        <v>5</v>
      </c>
      <c r="C11" t="s">
        <v>77</v>
      </c>
      <c r="D11">
        <v>176</v>
      </c>
    </row>
    <row r="12" spans="1:5">
      <c r="A12" t="s">
        <v>1341</v>
      </c>
      <c r="B12" t="s">
        <v>5</v>
      </c>
      <c r="C12" t="s">
        <v>9</v>
      </c>
      <c r="D12">
        <v>193</v>
      </c>
      <c r="E12" t="s">
        <v>1352</v>
      </c>
    </row>
    <row r="13" spans="1:5">
      <c r="A13" t="s">
        <v>1341</v>
      </c>
      <c r="B13" t="s">
        <v>5</v>
      </c>
      <c r="C13" t="s">
        <v>8</v>
      </c>
      <c r="D13">
        <v>210</v>
      </c>
    </row>
    <row r="14" spans="1:5">
      <c r="A14" t="s">
        <v>1341</v>
      </c>
      <c r="B14" t="s">
        <v>5</v>
      </c>
      <c r="C14" t="s">
        <v>16</v>
      </c>
      <c r="D14">
        <v>213</v>
      </c>
    </row>
    <row r="15" spans="1:5">
      <c r="A15" t="s">
        <v>1341</v>
      </c>
      <c r="B15" t="s">
        <v>5</v>
      </c>
      <c r="C15" t="s">
        <v>7</v>
      </c>
      <c r="D15">
        <v>214</v>
      </c>
    </row>
    <row r="16" spans="1:5">
      <c r="A16" t="s">
        <v>1341</v>
      </c>
      <c r="B16" t="s">
        <v>5</v>
      </c>
      <c r="C16" t="s">
        <v>19</v>
      </c>
      <c r="D16">
        <v>216</v>
      </c>
    </row>
    <row r="17" spans="1:5">
      <c r="A17" t="s">
        <v>1341</v>
      </c>
      <c r="B17" t="s">
        <v>5</v>
      </c>
      <c r="C17" t="s">
        <v>25</v>
      </c>
      <c r="D17">
        <v>223</v>
      </c>
    </row>
    <row r="18" spans="1:5">
      <c r="A18" t="s">
        <v>1341</v>
      </c>
      <c r="B18" t="s">
        <v>5</v>
      </c>
      <c r="C18" t="s">
        <v>15</v>
      </c>
      <c r="D18">
        <v>224</v>
      </c>
    </row>
    <row r="19" spans="1:5">
      <c r="A19" t="s">
        <v>1341</v>
      </c>
      <c r="B19" t="s">
        <v>5</v>
      </c>
      <c r="C19" t="s">
        <v>1337</v>
      </c>
      <c r="D19">
        <v>224</v>
      </c>
    </row>
    <row r="20" spans="1:5">
      <c r="A20" t="s">
        <v>1341</v>
      </c>
      <c r="B20" t="s">
        <v>5</v>
      </c>
      <c r="C20" t="s">
        <v>80</v>
      </c>
      <c r="D20">
        <v>224</v>
      </c>
    </row>
    <row r="21" spans="1:5">
      <c r="A21" t="s">
        <v>1341</v>
      </c>
      <c r="B21" t="s">
        <v>5</v>
      </c>
      <c r="C21" t="s">
        <v>1338</v>
      </c>
      <c r="D21">
        <v>224</v>
      </c>
      <c r="E21" t="s">
        <v>1353</v>
      </c>
    </row>
    <row r="22" spans="1:5">
      <c r="A22" t="s">
        <v>1341</v>
      </c>
      <c r="B22" t="s">
        <v>5</v>
      </c>
      <c r="C22" t="s">
        <v>22</v>
      </c>
      <c r="D22">
        <v>255</v>
      </c>
    </row>
    <row r="23" spans="1:5">
      <c r="A23" t="s">
        <v>1341</v>
      </c>
      <c r="B23" t="s">
        <v>5</v>
      </c>
      <c r="C23" t="s">
        <v>21</v>
      </c>
      <c r="D23">
        <v>260</v>
      </c>
    </row>
    <row r="24" spans="1:5">
      <c r="A24" t="s">
        <v>1341</v>
      </c>
      <c r="B24" t="s">
        <v>5</v>
      </c>
      <c r="C24" t="s">
        <v>13</v>
      </c>
      <c r="D24">
        <v>262</v>
      </c>
    </row>
    <row r="25" spans="1:5">
      <c r="A25" t="s">
        <v>1341</v>
      </c>
      <c r="B25" t="s">
        <v>5</v>
      </c>
      <c r="C25" t="s">
        <v>14</v>
      </c>
      <c r="D25">
        <v>262</v>
      </c>
    </row>
    <row r="26" spans="1:5">
      <c r="A26" t="s">
        <v>1341</v>
      </c>
      <c r="B26" t="s">
        <v>5</v>
      </c>
      <c r="C26" t="s">
        <v>78</v>
      </c>
      <c r="D26">
        <v>268</v>
      </c>
    </row>
    <row r="27" spans="1:5">
      <c r="A27" t="s">
        <v>1341</v>
      </c>
      <c r="B27" t="s">
        <v>5</v>
      </c>
      <c r="C27" t="s">
        <v>79</v>
      </c>
      <c r="D27">
        <v>273</v>
      </c>
    </row>
    <row r="28" spans="1:5">
      <c r="A28" t="s">
        <v>1341</v>
      </c>
      <c r="B28" t="s">
        <v>5</v>
      </c>
      <c r="C28" t="s">
        <v>1339</v>
      </c>
      <c r="D28">
        <v>273</v>
      </c>
    </row>
    <row r="29" spans="1:5">
      <c r="A29" t="s">
        <v>1341</v>
      </c>
      <c r="B29" t="s">
        <v>5</v>
      </c>
      <c r="C29" t="s">
        <v>1340</v>
      </c>
      <c r="D29">
        <v>273</v>
      </c>
    </row>
    <row r="30" spans="1:5">
      <c r="A30" t="s">
        <v>1341</v>
      </c>
      <c r="B30" t="s">
        <v>5</v>
      </c>
      <c r="C30" t="s">
        <v>6</v>
      </c>
      <c r="D30">
        <v>370</v>
      </c>
      <c r="E30" t="s">
        <v>1354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28300-0272-AB46-8A39-E1F4C3137DE3}">
  <dimension ref="A1:E30"/>
  <sheetViews>
    <sheetView workbookViewId="0">
      <selection activeCell="E31" sqref="E31"/>
    </sheetView>
  </sheetViews>
  <sheetFormatPr baseColWidth="10" defaultRowHeight="16"/>
  <cols>
    <col min="1" max="1" width="12.83203125" bestFit="1" customWidth="1"/>
    <col min="3" max="3" width="29.1640625" bestFit="1" customWidth="1"/>
  </cols>
  <sheetData>
    <row r="1" spans="1:5">
      <c r="A1" t="s">
        <v>1342</v>
      </c>
      <c r="B1" t="s">
        <v>5</v>
      </c>
      <c r="C1" t="s">
        <v>5</v>
      </c>
      <c r="D1">
        <v>144</v>
      </c>
    </row>
    <row r="2" spans="1:5">
      <c r="A2" t="s">
        <v>1342</v>
      </c>
      <c r="B2" t="s">
        <v>5</v>
      </c>
      <c r="C2" t="s">
        <v>12</v>
      </c>
      <c r="D2">
        <v>151</v>
      </c>
    </row>
    <row r="3" spans="1:5">
      <c r="A3" t="s">
        <v>1342</v>
      </c>
      <c r="B3" t="s">
        <v>5</v>
      </c>
      <c r="C3" t="s">
        <v>17</v>
      </c>
      <c r="D3">
        <v>153</v>
      </c>
    </row>
    <row r="4" spans="1:5">
      <c r="A4" t="s">
        <v>1342</v>
      </c>
      <c r="B4" t="s">
        <v>5</v>
      </c>
      <c r="C4" t="s">
        <v>11</v>
      </c>
      <c r="D4">
        <v>215</v>
      </c>
    </row>
    <row r="5" spans="1:5">
      <c r="A5" t="s">
        <v>1342</v>
      </c>
      <c r="B5" t="s">
        <v>5</v>
      </c>
      <c r="C5" t="s">
        <v>24</v>
      </c>
      <c r="D5">
        <v>220</v>
      </c>
    </row>
    <row r="6" spans="1:5">
      <c r="A6" t="s">
        <v>1342</v>
      </c>
      <c r="B6" t="s">
        <v>5</v>
      </c>
      <c r="C6" t="s">
        <v>23</v>
      </c>
      <c r="D6">
        <v>225</v>
      </c>
    </row>
    <row r="7" spans="1:5">
      <c r="A7" t="s">
        <v>1342</v>
      </c>
      <c r="B7" t="s">
        <v>5</v>
      </c>
      <c r="C7" t="s">
        <v>20</v>
      </c>
      <c r="D7">
        <v>230</v>
      </c>
    </row>
    <row r="8" spans="1:5">
      <c r="A8" t="s">
        <v>1342</v>
      </c>
      <c r="B8" t="s">
        <v>5</v>
      </c>
      <c r="C8" t="s">
        <v>18</v>
      </c>
      <c r="D8">
        <v>242</v>
      </c>
    </row>
    <row r="9" spans="1:5">
      <c r="A9" t="s">
        <v>1342</v>
      </c>
      <c r="B9" t="s">
        <v>5</v>
      </c>
      <c r="C9" t="s">
        <v>10</v>
      </c>
      <c r="D9">
        <v>244</v>
      </c>
    </row>
    <row r="10" spans="1:5">
      <c r="A10" t="s">
        <v>1342</v>
      </c>
      <c r="B10" t="s">
        <v>5</v>
      </c>
      <c r="C10" t="s">
        <v>26</v>
      </c>
      <c r="D10">
        <v>245</v>
      </c>
    </row>
    <row r="11" spans="1:5">
      <c r="A11" t="s">
        <v>1342</v>
      </c>
      <c r="B11" t="s">
        <v>5</v>
      </c>
      <c r="C11" t="s">
        <v>77</v>
      </c>
      <c r="D11">
        <v>257</v>
      </c>
      <c r="E11" t="s">
        <v>1352</v>
      </c>
    </row>
    <row r="12" spans="1:5">
      <c r="A12" t="s">
        <v>1342</v>
      </c>
      <c r="B12" t="s">
        <v>5</v>
      </c>
      <c r="C12" t="s">
        <v>9</v>
      </c>
      <c r="D12">
        <v>278</v>
      </c>
    </row>
    <row r="13" spans="1:5">
      <c r="A13" t="s">
        <v>1342</v>
      </c>
      <c r="B13" t="s">
        <v>5</v>
      </c>
      <c r="C13" t="s">
        <v>19</v>
      </c>
      <c r="D13">
        <v>318</v>
      </c>
    </row>
    <row r="14" spans="1:5">
      <c r="A14" t="s">
        <v>1342</v>
      </c>
      <c r="B14" t="s">
        <v>5</v>
      </c>
      <c r="C14" t="s">
        <v>8</v>
      </c>
      <c r="D14">
        <v>319</v>
      </c>
    </row>
    <row r="15" spans="1:5">
      <c r="A15" t="s">
        <v>1342</v>
      </c>
      <c r="B15" t="s">
        <v>5</v>
      </c>
      <c r="C15" t="s">
        <v>16</v>
      </c>
      <c r="D15">
        <v>320</v>
      </c>
    </row>
    <row r="16" spans="1:5">
      <c r="A16" t="s">
        <v>1342</v>
      </c>
      <c r="B16" t="s">
        <v>5</v>
      </c>
      <c r="C16" t="s">
        <v>7</v>
      </c>
      <c r="D16">
        <v>325</v>
      </c>
    </row>
    <row r="17" spans="1:5">
      <c r="A17" t="s">
        <v>1342</v>
      </c>
      <c r="B17" t="s">
        <v>5</v>
      </c>
      <c r="C17" t="s">
        <v>25</v>
      </c>
      <c r="D17">
        <v>330</v>
      </c>
    </row>
    <row r="18" spans="1:5">
      <c r="A18" t="s">
        <v>1342</v>
      </c>
      <c r="B18" t="s">
        <v>5</v>
      </c>
      <c r="C18" t="s">
        <v>15</v>
      </c>
      <c r="D18">
        <v>332</v>
      </c>
    </row>
    <row r="19" spans="1:5">
      <c r="A19" t="s">
        <v>1342</v>
      </c>
      <c r="B19" t="s">
        <v>5</v>
      </c>
      <c r="C19" t="s">
        <v>1337</v>
      </c>
      <c r="D19">
        <v>336</v>
      </c>
    </row>
    <row r="20" spans="1:5">
      <c r="A20" t="s">
        <v>1342</v>
      </c>
      <c r="B20" t="s">
        <v>5</v>
      </c>
      <c r="C20" t="s">
        <v>80</v>
      </c>
      <c r="D20">
        <v>336</v>
      </c>
    </row>
    <row r="21" spans="1:5">
      <c r="A21" t="s">
        <v>1342</v>
      </c>
      <c r="B21" t="s">
        <v>5</v>
      </c>
      <c r="C21" t="s">
        <v>1338</v>
      </c>
      <c r="D21">
        <v>336</v>
      </c>
      <c r="E21" t="s">
        <v>1353</v>
      </c>
    </row>
    <row r="22" spans="1:5">
      <c r="A22" t="s">
        <v>1342</v>
      </c>
      <c r="B22" t="s">
        <v>5</v>
      </c>
      <c r="C22" t="s">
        <v>22</v>
      </c>
      <c r="D22">
        <v>374</v>
      </c>
    </row>
    <row r="23" spans="1:5">
      <c r="A23" t="s">
        <v>1342</v>
      </c>
      <c r="B23" t="s">
        <v>5</v>
      </c>
      <c r="C23" t="s">
        <v>21</v>
      </c>
      <c r="D23">
        <v>384</v>
      </c>
    </row>
    <row r="24" spans="1:5">
      <c r="A24" t="s">
        <v>1342</v>
      </c>
      <c r="B24" t="s">
        <v>5</v>
      </c>
      <c r="C24" t="s">
        <v>13</v>
      </c>
      <c r="D24">
        <v>389</v>
      </c>
    </row>
    <row r="25" spans="1:5">
      <c r="A25" t="s">
        <v>1342</v>
      </c>
      <c r="B25" t="s">
        <v>5</v>
      </c>
      <c r="C25" t="s">
        <v>14</v>
      </c>
      <c r="D25">
        <v>390</v>
      </c>
    </row>
    <row r="26" spans="1:5">
      <c r="A26" t="s">
        <v>1342</v>
      </c>
      <c r="B26" t="s">
        <v>5</v>
      </c>
      <c r="C26" t="s">
        <v>78</v>
      </c>
      <c r="D26">
        <v>393</v>
      </c>
    </row>
    <row r="27" spans="1:5">
      <c r="A27" t="s">
        <v>1342</v>
      </c>
      <c r="B27" t="s">
        <v>5</v>
      </c>
      <c r="C27" t="s">
        <v>79</v>
      </c>
      <c r="D27">
        <v>404</v>
      </c>
    </row>
    <row r="28" spans="1:5">
      <c r="A28" t="s">
        <v>1342</v>
      </c>
      <c r="B28" t="s">
        <v>5</v>
      </c>
      <c r="C28" t="s">
        <v>1339</v>
      </c>
      <c r="D28">
        <v>404</v>
      </c>
    </row>
    <row r="29" spans="1:5">
      <c r="A29" t="s">
        <v>1342</v>
      </c>
      <c r="B29" t="s">
        <v>5</v>
      </c>
      <c r="C29" t="s">
        <v>1340</v>
      </c>
      <c r="D29">
        <v>404</v>
      </c>
    </row>
    <row r="30" spans="1:5">
      <c r="A30" t="s">
        <v>1342</v>
      </c>
      <c r="B30" t="s">
        <v>5</v>
      </c>
      <c r="C30" t="s">
        <v>6</v>
      </c>
      <c r="D30">
        <v>548</v>
      </c>
      <c r="E30" t="s">
        <v>1354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6EF4D-DAAA-4441-A322-BC7C468EEE60}">
  <dimension ref="A1:E30"/>
  <sheetViews>
    <sheetView workbookViewId="0">
      <selection activeCell="E21" sqref="E21"/>
    </sheetView>
  </sheetViews>
  <sheetFormatPr baseColWidth="10" defaultRowHeight="16"/>
  <cols>
    <col min="1" max="1" width="12.83203125" bestFit="1" customWidth="1"/>
    <col min="3" max="3" width="29.1640625" bestFit="1" customWidth="1"/>
  </cols>
  <sheetData>
    <row r="1" spans="1:5">
      <c r="A1" t="s">
        <v>1345</v>
      </c>
      <c r="B1" t="s">
        <v>5</v>
      </c>
      <c r="C1" t="s">
        <v>5</v>
      </c>
      <c r="D1">
        <v>179</v>
      </c>
    </row>
    <row r="2" spans="1:5">
      <c r="A2" t="s">
        <v>1345</v>
      </c>
      <c r="B2" t="s">
        <v>5</v>
      </c>
      <c r="C2" t="s">
        <v>12</v>
      </c>
      <c r="D2">
        <v>189</v>
      </c>
    </row>
    <row r="3" spans="1:5">
      <c r="A3" t="s">
        <v>1345</v>
      </c>
      <c r="B3" t="s">
        <v>5</v>
      </c>
      <c r="C3" t="s">
        <v>17</v>
      </c>
      <c r="D3">
        <v>194</v>
      </c>
    </row>
    <row r="4" spans="1:5">
      <c r="A4" t="s">
        <v>1345</v>
      </c>
      <c r="B4" t="s">
        <v>5</v>
      </c>
      <c r="C4" t="s">
        <v>11</v>
      </c>
      <c r="D4">
        <v>290</v>
      </c>
    </row>
    <row r="5" spans="1:5">
      <c r="A5" t="s">
        <v>1345</v>
      </c>
      <c r="B5" t="s">
        <v>5</v>
      </c>
      <c r="C5" t="s">
        <v>24</v>
      </c>
      <c r="D5">
        <v>298</v>
      </c>
    </row>
    <row r="6" spans="1:5">
      <c r="A6" t="s">
        <v>1345</v>
      </c>
      <c r="B6" t="s">
        <v>5</v>
      </c>
      <c r="C6" t="s">
        <v>23</v>
      </c>
      <c r="D6">
        <v>304</v>
      </c>
    </row>
    <row r="7" spans="1:5">
      <c r="A7" t="s">
        <v>1345</v>
      </c>
      <c r="B7" t="s">
        <v>5</v>
      </c>
      <c r="C7" t="s">
        <v>20</v>
      </c>
      <c r="D7">
        <v>310</v>
      </c>
    </row>
    <row r="8" spans="1:5">
      <c r="A8" t="s">
        <v>1345</v>
      </c>
      <c r="B8" t="s">
        <v>5</v>
      </c>
      <c r="C8" t="s">
        <v>18</v>
      </c>
      <c r="D8">
        <v>315</v>
      </c>
    </row>
    <row r="9" spans="1:5">
      <c r="A9" t="s">
        <v>1345</v>
      </c>
      <c r="B9" t="s">
        <v>5</v>
      </c>
      <c r="C9" t="s">
        <v>10</v>
      </c>
      <c r="D9">
        <v>320</v>
      </c>
    </row>
    <row r="10" spans="1:5">
      <c r="A10" t="s">
        <v>1345</v>
      </c>
      <c r="B10" t="s">
        <v>5</v>
      </c>
      <c r="C10" t="s">
        <v>26</v>
      </c>
      <c r="D10">
        <v>323</v>
      </c>
    </row>
    <row r="11" spans="1:5">
      <c r="A11" t="s">
        <v>1345</v>
      </c>
      <c r="B11" t="s">
        <v>5</v>
      </c>
      <c r="C11" t="s">
        <v>77</v>
      </c>
      <c r="D11">
        <v>336</v>
      </c>
    </row>
    <row r="12" spans="1:5">
      <c r="A12" t="s">
        <v>1345</v>
      </c>
      <c r="B12" t="s">
        <v>5</v>
      </c>
      <c r="C12" t="s">
        <v>9</v>
      </c>
      <c r="D12">
        <v>373</v>
      </c>
      <c r="E12" t="s">
        <v>1352</v>
      </c>
    </row>
    <row r="13" spans="1:5">
      <c r="A13" t="s">
        <v>1345</v>
      </c>
      <c r="B13" t="s">
        <v>5</v>
      </c>
      <c r="C13" t="s">
        <v>16</v>
      </c>
      <c r="D13">
        <v>418</v>
      </c>
    </row>
    <row r="14" spans="1:5">
      <c r="A14" t="s">
        <v>1345</v>
      </c>
      <c r="B14" t="s">
        <v>5</v>
      </c>
      <c r="C14" t="s">
        <v>19</v>
      </c>
      <c r="D14">
        <v>420</v>
      </c>
    </row>
    <row r="15" spans="1:5">
      <c r="A15" t="s">
        <v>1345</v>
      </c>
      <c r="B15" t="s">
        <v>5</v>
      </c>
      <c r="C15" t="s">
        <v>8</v>
      </c>
      <c r="D15">
        <v>426</v>
      </c>
    </row>
    <row r="16" spans="1:5">
      <c r="A16" t="s">
        <v>1345</v>
      </c>
      <c r="B16" t="s">
        <v>5</v>
      </c>
      <c r="C16" t="s">
        <v>15</v>
      </c>
      <c r="D16">
        <v>430</v>
      </c>
    </row>
    <row r="17" spans="1:5">
      <c r="A17" t="s">
        <v>1345</v>
      </c>
      <c r="B17" t="s">
        <v>5</v>
      </c>
      <c r="C17" t="s">
        <v>1337</v>
      </c>
      <c r="D17">
        <v>439</v>
      </c>
    </row>
    <row r="18" spans="1:5">
      <c r="A18" t="s">
        <v>1345</v>
      </c>
      <c r="B18" t="s">
        <v>5</v>
      </c>
      <c r="C18" t="s">
        <v>80</v>
      </c>
      <c r="D18">
        <v>439</v>
      </c>
    </row>
    <row r="19" spans="1:5">
      <c r="A19" t="s">
        <v>1345</v>
      </c>
      <c r="B19" t="s">
        <v>5</v>
      </c>
      <c r="C19" t="s">
        <v>1338</v>
      </c>
      <c r="D19">
        <v>439</v>
      </c>
    </row>
    <row r="20" spans="1:5">
      <c r="A20" t="s">
        <v>1345</v>
      </c>
      <c r="B20" t="s">
        <v>5</v>
      </c>
      <c r="C20" t="s">
        <v>7</v>
      </c>
      <c r="D20">
        <v>441</v>
      </c>
    </row>
    <row r="21" spans="1:5">
      <c r="A21" t="s">
        <v>1345</v>
      </c>
      <c r="B21" t="s">
        <v>5</v>
      </c>
      <c r="C21" t="s">
        <v>25</v>
      </c>
      <c r="D21">
        <v>441</v>
      </c>
      <c r="E21" t="s">
        <v>1355</v>
      </c>
    </row>
    <row r="22" spans="1:5">
      <c r="A22" t="s">
        <v>1345</v>
      </c>
      <c r="B22" t="s">
        <v>5</v>
      </c>
      <c r="C22" t="s">
        <v>22</v>
      </c>
      <c r="D22">
        <v>503</v>
      </c>
    </row>
    <row r="23" spans="1:5">
      <c r="A23" t="s">
        <v>1345</v>
      </c>
      <c r="B23" t="s">
        <v>5</v>
      </c>
      <c r="C23" t="s">
        <v>13</v>
      </c>
      <c r="D23">
        <v>525</v>
      </c>
    </row>
    <row r="24" spans="1:5">
      <c r="A24" t="s">
        <v>1345</v>
      </c>
      <c r="B24" t="s">
        <v>5</v>
      </c>
      <c r="C24" t="s">
        <v>14</v>
      </c>
      <c r="D24">
        <v>526</v>
      </c>
    </row>
    <row r="25" spans="1:5">
      <c r="A25" t="s">
        <v>1345</v>
      </c>
      <c r="B25" t="s">
        <v>5</v>
      </c>
      <c r="C25" t="s">
        <v>21</v>
      </c>
      <c r="D25">
        <v>527</v>
      </c>
    </row>
    <row r="26" spans="1:5">
      <c r="A26" t="s">
        <v>1345</v>
      </c>
      <c r="B26" t="s">
        <v>5</v>
      </c>
      <c r="C26" t="s">
        <v>78</v>
      </c>
      <c r="D26">
        <v>529</v>
      </c>
    </row>
    <row r="27" spans="1:5">
      <c r="A27" t="s">
        <v>1345</v>
      </c>
      <c r="B27" t="s">
        <v>5</v>
      </c>
      <c r="C27" t="s">
        <v>79</v>
      </c>
      <c r="D27">
        <v>554</v>
      </c>
    </row>
    <row r="28" spans="1:5">
      <c r="A28" t="s">
        <v>1345</v>
      </c>
      <c r="B28" t="s">
        <v>5</v>
      </c>
      <c r="C28" t="s">
        <v>1339</v>
      </c>
      <c r="D28">
        <v>554</v>
      </c>
    </row>
    <row r="29" spans="1:5">
      <c r="A29" t="s">
        <v>1345</v>
      </c>
      <c r="B29" t="s">
        <v>5</v>
      </c>
      <c r="C29" t="s">
        <v>1340</v>
      </c>
      <c r="D29">
        <v>554</v>
      </c>
    </row>
    <row r="30" spans="1:5">
      <c r="A30" t="s">
        <v>1345</v>
      </c>
      <c r="B30" t="s">
        <v>5</v>
      </c>
      <c r="C30" t="s">
        <v>6</v>
      </c>
      <c r="D30">
        <v>760</v>
      </c>
      <c r="E30" t="s">
        <v>1354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6A5F7-F00E-6147-8BB3-F138D3BBE1A3}">
  <dimension ref="A1:E30"/>
  <sheetViews>
    <sheetView workbookViewId="0">
      <selection activeCell="E31" sqref="E31"/>
    </sheetView>
  </sheetViews>
  <sheetFormatPr baseColWidth="10" defaultRowHeight="16"/>
  <cols>
    <col min="1" max="1" width="12.83203125" bestFit="1" customWidth="1"/>
    <col min="3" max="3" width="29.1640625" bestFit="1" customWidth="1"/>
  </cols>
  <sheetData>
    <row r="1" spans="1:5">
      <c r="A1" t="s">
        <v>1346</v>
      </c>
      <c r="B1" t="s">
        <v>5</v>
      </c>
      <c r="C1" t="s">
        <v>5</v>
      </c>
      <c r="D1">
        <v>200</v>
      </c>
    </row>
    <row r="2" spans="1:5">
      <c r="A2" t="s">
        <v>1346</v>
      </c>
      <c r="B2" t="s">
        <v>5</v>
      </c>
      <c r="C2" t="s">
        <v>12</v>
      </c>
      <c r="D2">
        <v>210</v>
      </c>
    </row>
    <row r="3" spans="1:5">
      <c r="A3" t="s">
        <v>1346</v>
      </c>
      <c r="B3" t="s">
        <v>5</v>
      </c>
      <c r="C3" t="s">
        <v>17</v>
      </c>
      <c r="D3">
        <v>217</v>
      </c>
    </row>
    <row r="4" spans="1:5">
      <c r="A4" t="s">
        <v>1346</v>
      </c>
      <c r="B4" t="s">
        <v>5</v>
      </c>
      <c r="C4" t="s">
        <v>11</v>
      </c>
      <c r="D4">
        <v>322</v>
      </c>
    </row>
    <row r="5" spans="1:5">
      <c r="A5" t="s">
        <v>1346</v>
      </c>
      <c r="B5" t="s">
        <v>5</v>
      </c>
      <c r="C5" t="s">
        <v>24</v>
      </c>
      <c r="D5">
        <v>337</v>
      </c>
    </row>
    <row r="6" spans="1:5">
      <c r="A6" t="s">
        <v>1346</v>
      </c>
      <c r="B6" t="s">
        <v>5</v>
      </c>
      <c r="C6" t="s">
        <v>23</v>
      </c>
      <c r="D6">
        <v>338</v>
      </c>
    </row>
    <row r="7" spans="1:5">
      <c r="A7" t="s">
        <v>1346</v>
      </c>
      <c r="B7" t="s">
        <v>5</v>
      </c>
      <c r="C7" t="s">
        <v>20</v>
      </c>
      <c r="D7">
        <v>346</v>
      </c>
    </row>
    <row r="8" spans="1:5">
      <c r="A8" t="s">
        <v>1346</v>
      </c>
      <c r="B8" t="s">
        <v>5</v>
      </c>
      <c r="C8" t="s">
        <v>18</v>
      </c>
      <c r="D8">
        <v>349</v>
      </c>
    </row>
    <row r="9" spans="1:5">
      <c r="A9" t="s">
        <v>1346</v>
      </c>
      <c r="B9" t="s">
        <v>5</v>
      </c>
      <c r="C9" t="s">
        <v>10</v>
      </c>
      <c r="D9">
        <v>354</v>
      </c>
    </row>
    <row r="10" spans="1:5">
      <c r="A10" t="s">
        <v>1346</v>
      </c>
      <c r="B10" t="s">
        <v>5</v>
      </c>
      <c r="C10" t="s">
        <v>26</v>
      </c>
      <c r="D10">
        <v>358</v>
      </c>
    </row>
    <row r="11" spans="1:5">
      <c r="A11" t="s">
        <v>1346</v>
      </c>
      <c r="B11" t="s">
        <v>5</v>
      </c>
      <c r="C11" t="s">
        <v>77</v>
      </c>
      <c r="D11">
        <v>372</v>
      </c>
    </row>
    <row r="12" spans="1:5">
      <c r="A12" t="s">
        <v>1346</v>
      </c>
      <c r="B12" t="s">
        <v>5</v>
      </c>
      <c r="C12" t="s">
        <v>9</v>
      </c>
      <c r="D12">
        <v>417</v>
      </c>
      <c r="E12" t="s">
        <v>1352</v>
      </c>
    </row>
    <row r="13" spans="1:5">
      <c r="A13" t="s">
        <v>1346</v>
      </c>
      <c r="B13" t="s">
        <v>5</v>
      </c>
      <c r="C13" t="s">
        <v>19</v>
      </c>
      <c r="D13">
        <v>475</v>
      </c>
    </row>
    <row r="14" spans="1:5">
      <c r="A14" t="s">
        <v>1346</v>
      </c>
      <c r="B14" t="s">
        <v>5</v>
      </c>
      <c r="C14" t="s">
        <v>8</v>
      </c>
      <c r="D14">
        <v>481</v>
      </c>
    </row>
    <row r="15" spans="1:5">
      <c r="A15" t="s">
        <v>1346</v>
      </c>
      <c r="B15" t="s">
        <v>5</v>
      </c>
      <c r="C15" t="s">
        <v>16</v>
      </c>
      <c r="D15">
        <v>483</v>
      </c>
    </row>
    <row r="16" spans="1:5">
      <c r="A16" t="s">
        <v>1346</v>
      </c>
      <c r="B16" t="s">
        <v>5</v>
      </c>
      <c r="C16" t="s">
        <v>25</v>
      </c>
      <c r="D16">
        <v>484</v>
      </c>
    </row>
    <row r="17" spans="1:5">
      <c r="A17" t="s">
        <v>1346</v>
      </c>
      <c r="B17" t="s">
        <v>5</v>
      </c>
      <c r="C17" t="s">
        <v>15</v>
      </c>
      <c r="D17">
        <v>488</v>
      </c>
    </row>
    <row r="18" spans="1:5">
      <c r="A18" t="s">
        <v>1346</v>
      </c>
      <c r="B18" t="s">
        <v>5</v>
      </c>
      <c r="C18" t="s">
        <v>7</v>
      </c>
      <c r="D18">
        <v>504</v>
      </c>
    </row>
    <row r="19" spans="1:5">
      <c r="A19" t="s">
        <v>1346</v>
      </c>
      <c r="B19" t="s">
        <v>5</v>
      </c>
      <c r="C19" t="s">
        <v>1337</v>
      </c>
      <c r="D19">
        <v>508</v>
      </c>
    </row>
    <row r="20" spans="1:5">
      <c r="A20" t="s">
        <v>1346</v>
      </c>
      <c r="B20" t="s">
        <v>5</v>
      </c>
      <c r="C20" t="s">
        <v>80</v>
      </c>
      <c r="D20">
        <v>508</v>
      </c>
    </row>
    <row r="21" spans="1:5">
      <c r="A21" t="s">
        <v>1346</v>
      </c>
      <c r="B21" t="s">
        <v>5</v>
      </c>
      <c r="C21" t="s">
        <v>1338</v>
      </c>
      <c r="D21">
        <v>508</v>
      </c>
      <c r="E21" t="s">
        <v>1353</v>
      </c>
    </row>
    <row r="22" spans="1:5">
      <c r="A22" t="s">
        <v>1346</v>
      </c>
      <c r="B22" t="s">
        <v>5</v>
      </c>
      <c r="C22" t="s">
        <v>22</v>
      </c>
      <c r="D22">
        <v>572</v>
      </c>
    </row>
    <row r="23" spans="1:5">
      <c r="A23" t="s">
        <v>1346</v>
      </c>
      <c r="B23" t="s">
        <v>5</v>
      </c>
      <c r="C23" t="s">
        <v>21</v>
      </c>
      <c r="D23">
        <v>599</v>
      </c>
    </row>
    <row r="24" spans="1:5">
      <c r="A24" t="s">
        <v>1346</v>
      </c>
      <c r="B24" t="s">
        <v>5</v>
      </c>
      <c r="C24" t="s">
        <v>78</v>
      </c>
      <c r="D24">
        <v>601</v>
      </c>
    </row>
    <row r="25" spans="1:5">
      <c r="A25" t="s">
        <v>1346</v>
      </c>
      <c r="B25" t="s">
        <v>5</v>
      </c>
      <c r="C25" t="s">
        <v>14</v>
      </c>
      <c r="D25">
        <v>604</v>
      </c>
    </row>
    <row r="26" spans="1:5">
      <c r="A26" t="s">
        <v>1346</v>
      </c>
      <c r="B26" t="s">
        <v>5</v>
      </c>
      <c r="C26" t="s">
        <v>13</v>
      </c>
      <c r="D26">
        <v>607</v>
      </c>
    </row>
    <row r="27" spans="1:5">
      <c r="A27" t="s">
        <v>1346</v>
      </c>
      <c r="B27" t="s">
        <v>5</v>
      </c>
      <c r="C27" t="s">
        <v>79</v>
      </c>
      <c r="D27">
        <v>629</v>
      </c>
    </row>
    <row r="28" spans="1:5">
      <c r="A28" t="s">
        <v>1346</v>
      </c>
      <c r="B28" t="s">
        <v>5</v>
      </c>
      <c r="C28" t="s">
        <v>1339</v>
      </c>
      <c r="D28">
        <v>629</v>
      </c>
    </row>
    <row r="29" spans="1:5">
      <c r="A29" t="s">
        <v>1346</v>
      </c>
      <c r="B29" t="s">
        <v>5</v>
      </c>
      <c r="C29" t="s">
        <v>1340</v>
      </c>
      <c r="D29">
        <v>629</v>
      </c>
    </row>
    <row r="30" spans="1:5">
      <c r="A30" t="s">
        <v>1346</v>
      </c>
      <c r="B30" t="s">
        <v>5</v>
      </c>
      <c r="C30" t="s">
        <v>6</v>
      </c>
      <c r="D30">
        <v>879</v>
      </c>
      <c r="E30" t="s">
        <v>1354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C007F-F86E-F94C-8BE9-AB1A05C4860F}">
  <dimension ref="A1:E30"/>
  <sheetViews>
    <sheetView workbookViewId="0">
      <selection activeCell="E31" sqref="E31"/>
    </sheetView>
  </sheetViews>
  <sheetFormatPr baseColWidth="10" defaultRowHeight="16"/>
  <cols>
    <col min="1" max="1" width="12.83203125" bestFit="1" customWidth="1"/>
    <col min="3" max="3" width="29.1640625" bestFit="1" customWidth="1"/>
  </cols>
  <sheetData>
    <row r="1" spans="1:5">
      <c r="A1" t="s">
        <v>1347</v>
      </c>
      <c r="B1" t="s">
        <v>5</v>
      </c>
      <c r="C1" t="s">
        <v>5</v>
      </c>
      <c r="D1">
        <v>215</v>
      </c>
    </row>
    <row r="2" spans="1:5">
      <c r="A2" t="s">
        <v>1347</v>
      </c>
      <c r="B2" t="s">
        <v>5</v>
      </c>
      <c r="C2" t="s">
        <v>12</v>
      </c>
      <c r="D2">
        <v>230</v>
      </c>
    </row>
    <row r="3" spans="1:5">
      <c r="A3" t="s">
        <v>1347</v>
      </c>
      <c r="B3" t="s">
        <v>5</v>
      </c>
      <c r="C3" t="s">
        <v>17</v>
      </c>
      <c r="D3">
        <v>239</v>
      </c>
    </row>
    <row r="4" spans="1:5">
      <c r="A4" t="s">
        <v>1347</v>
      </c>
      <c r="B4" t="s">
        <v>5</v>
      </c>
      <c r="C4" t="s">
        <v>11</v>
      </c>
      <c r="D4">
        <v>356</v>
      </c>
    </row>
    <row r="5" spans="1:5">
      <c r="A5" t="s">
        <v>1347</v>
      </c>
      <c r="B5" t="s">
        <v>5</v>
      </c>
      <c r="C5" t="s">
        <v>24</v>
      </c>
      <c r="D5">
        <v>371</v>
      </c>
    </row>
    <row r="6" spans="1:5">
      <c r="A6" t="s">
        <v>1347</v>
      </c>
      <c r="B6" t="s">
        <v>5</v>
      </c>
      <c r="C6" t="s">
        <v>23</v>
      </c>
      <c r="D6">
        <v>372</v>
      </c>
    </row>
    <row r="7" spans="1:5">
      <c r="A7" t="s">
        <v>1347</v>
      </c>
      <c r="B7" t="s">
        <v>5</v>
      </c>
      <c r="C7" t="s">
        <v>20</v>
      </c>
      <c r="D7">
        <v>385</v>
      </c>
    </row>
    <row r="8" spans="1:5">
      <c r="A8" t="s">
        <v>1347</v>
      </c>
      <c r="B8" t="s">
        <v>5</v>
      </c>
      <c r="C8" t="s">
        <v>18</v>
      </c>
      <c r="D8">
        <v>386</v>
      </c>
    </row>
    <row r="9" spans="1:5">
      <c r="A9" t="s">
        <v>1347</v>
      </c>
      <c r="B9" t="s">
        <v>5</v>
      </c>
      <c r="C9" t="s">
        <v>10</v>
      </c>
      <c r="D9">
        <v>391</v>
      </c>
    </row>
    <row r="10" spans="1:5">
      <c r="A10" t="s">
        <v>1347</v>
      </c>
      <c r="B10" t="s">
        <v>5</v>
      </c>
      <c r="C10" t="s">
        <v>26</v>
      </c>
      <c r="D10">
        <v>395</v>
      </c>
    </row>
    <row r="11" spans="1:5">
      <c r="A11" t="s">
        <v>1347</v>
      </c>
      <c r="B11" t="s">
        <v>5</v>
      </c>
      <c r="C11" t="s">
        <v>77</v>
      </c>
      <c r="D11">
        <v>411</v>
      </c>
    </row>
    <row r="12" spans="1:5">
      <c r="A12" t="s">
        <v>1347</v>
      </c>
      <c r="B12" t="s">
        <v>5</v>
      </c>
      <c r="C12" t="s">
        <v>9</v>
      </c>
      <c r="D12">
        <v>478</v>
      </c>
      <c r="E12" t="s">
        <v>1352</v>
      </c>
    </row>
    <row r="13" spans="1:5">
      <c r="A13" t="s">
        <v>1347</v>
      </c>
      <c r="B13" t="s">
        <v>5</v>
      </c>
      <c r="C13" t="s">
        <v>8</v>
      </c>
      <c r="D13">
        <v>534</v>
      </c>
    </row>
    <row r="14" spans="1:5">
      <c r="A14" t="s">
        <v>1347</v>
      </c>
      <c r="B14" t="s">
        <v>5</v>
      </c>
      <c r="C14" t="s">
        <v>19</v>
      </c>
      <c r="D14">
        <v>539</v>
      </c>
    </row>
    <row r="15" spans="1:5">
      <c r="A15" t="s">
        <v>1347</v>
      </c>
      <c r="B15" t="s">
        <v>5</v>
      </c>
      <c r="C15" t="s">
        <v>16</v>
      </c>
      <c r="D15">
        <v>540</v>
      </c>
    </row>
    <row r="16" spans="1:5">
      <c r="A16" t="s">
        <v>1347</v>
      </c>
      <c r="B16" t="s">
        <v>5</v>
      </c>
      <c r="C16" t="s">
        <v>7</v>
      </c>
      <c r="D16">
        <v>555</v>
      </c>
    </row>
    <row r="17" spans="1:5">
      <c r="A17" t="s">
        <v>1347</v>
      </c>
      <c r="B17" t="s">
        <v>5</v>
      </c>
      <c r="C17" t="s">
        <v>25</v>
      </c>
      <c r="D17">
        <v>556</v>
      </c>
    </row>
    <row r="18" spans="1:5">
      <c r="A18" t="s">
        <v>1347</v>
      </c>
      <c r="B18" t="s">
        <v>5</v>
      </c>
      <c r="C18" t="s">
        <v>15</v>
      </c>
      <c r="D18">
        <v>557</v>
      </c>
    </row>
    <row r="19" spans="1:5">
      <c r="A19" t="s">
        <v>1347</v>
      </c>
      <c r="B19" t="s">
        <v>5</v>
      </c>
      <c r="C19" t="s">
        <v>1337</v>
      </c>
      <c r="D19">
        <v>567</v>
      </c>
    </row>
    <row r="20" spans="1:5">
      <c r="A20" t="s">
        <v>1347</v>
      </c>
      <c r="B20" t="s">
        <v>5</v>
      </c>
      <c r="C20" t="s">
        <v>80</v>
      </c>
      <c r="D20">
        <v>567</v>
      </c>
    </row>
    <row r="21" spans="1:5">
      <c r="A21" t="s">
        <v>1347</v>
      </c>
      <c r="B21" t="s">
        <v>5</v>
      </c>
      <c r="C21" t="s">
        <v>1338</v>
      </c>
      <c r="D21">
        <v>567</v>
      </c>
      <c r="E21" t="s">
        <v>1353</v>
      </c>
    </row>
    <row r="22" spans="1:5">
      <c r="A22" t="s">
        <v>1347</v>
      </c>
      <c r="B22" t="s">
        <v>5</v>
      </c>
      <c r="C22" t="s">
        <v>22</v>
      </c>
      <c r="D22">
        <v>632</v>
      </c>
    </row>
    <row r="23" spans="1:5">
      <c r="A23" t="s">
        <v>1347</v>
      </c>
      <c r="B23" t="s">
        <v>5</v>
      </c>
      <c r="C23" t="s">
        <v>13</v>
      </c>
      <c r="D23">
        <v>660</v>
      </c>
    </row>
    <row r="24" spans="1:5">
      <c r="A24" t="s">
        <v>1347</v>
      </c>
      <c r="B24" t="s">
        <v>5</v>
      </c>
      <c r="C24" t="s">
        <v>21</v>
      </c>
      <c r="D24">
        <v>660</v>
      </c>
    </row>
    <row r="25" spans="1:5">
      <c r="A25" t="s">
        <v>1347</v>
      </c>
      <c r="B25" t="s">
        <v>5</v>
      </c>
      <c r="C25" t="s">
        <v>78</v>
      </c>
      <c r="D25">
        <v>664</v>
      </c>
    </row>
    <row r="26" spans="1:5">
      <c r="A26" t="s">
        <v>1347</v>
      </c>
      <c r="B26" t="s">
        <v>5</v>
      </c>
      <c r="C26" t="s">
        <v>14</v>
      </c>
      <c r="D26">
        <v>676</v>
      </c>
    </row>
    <row r="27" spans="1:5">
      <c r="A27" t="s">
        <v>1347</v>
      </c>
      <c r="B27" t="s">
        <v>5</v>
      </c>
      <c r="C27" t="s">
        <v>79</v>
      </c>
      <c r="D27">
        <v>693</v>
      </c>
    </row>
    <row r="28" spans="1:5">
      <c r="A28" t="s">
        <v>1347</v>
      </c>
      <c r="B28" t="s">
        <v>5</v>
      </c>
      <c r="C28" t="s">
        <v>1339</v>
      </c>
      <c r="D28">
        <v>693</v>
      </c>
    </row>
    <row r="29" spans="1:5">
      <c r="A29" t="s">
        <v>1347</v>
      </c>
      <c r="B29" t="s">
        <v>5</v>
      </c>
      <c r="C29" t="s">
        <v>1340</v>
      </c>
      <c r="D29">
        <v>693</v>
      </c>
    </row>
    <row r="30" spans="1:5">
      <c r="A30" t="s">
        <v>1347</v>
      </c>
      <c r="B30" t="s">
        <v>5</v>
      </c>
      <c r="C30" t="s">
        <v>6</v>
      </c>
      <c r="D30">
        <v>969</v>
      </c>
      <c r="E30" t="s">
        <v>1354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C1B45-57B4-6046-94D8-68599EB7BFD8}">
  <dimension ref="A1:E30"/>
  <sheetViews>
    <sheetView workbookViewId="0">
      <selection activeCell="E31" sqref="E31"/>
    </sheetView>
  </sheetViews>
  <sheetFormatPr baseColWidth="10" defaultRowHeight="16"/>
  <cols>
    <col min="1" max="1" width="12.83203125" bestFit="1" customWidth="1"/>
    <col min="3" max="3" width="29.1640625" bestFit="1" customWidth="1"/>
  </cols>
  <sheetData>
    <row r="1" spans="1:5">
      <c r="A1" t="s">
        <v>1348</v>
      </c>
      <c r="B1" t="s">
        <v>5</v>
      </c>
      <c r="C1" t="s">
        <v>5</v>
      </c>
      <c r="D1">
        <v>251</v>
      </c>
    </row>
    <row r="2" spans="1:5">
      <c r="A2" t="s">
        <v>1348</v>
      </c>
      <c r="B2" t="s">
        <v>5</v>
      </c>
      <c r="C2" t="s">
        <v>12</v>
      </c>
      <c r="D2">
        <v>272</v>
      </c>
    </row>
    <row r="3" spans="1:5">
      <c r="A3" t="s">
        <v>1348</v>
      </c>
      <c r="B3" t="s">
        <v>5</v>
      </c>
      <c r="C3" t="s">
        <v>17</v>
      </c>
      <c r="D3">
        <v>284</v>
      </c>
    </row>
    <row r="4" spans="1:5">
      <c r="A4" t="s">
        <v>1348</v>
      </c>
      <c r="B4" t="s">
        <v>5</v>
      </c>
      <c r="C4" t="s">
        <v>11</v>
      </c>
      <c r="D4">
        <v>432</v>
      </c>
    </row>
    <row r="5" spans="1:5">
      <c r="A5" t="s">
        <v>1348</v>
      </c>
      <c r="B5" t="s">
        <v>5</v>
      </c>
      <c r="C5" t="s">
        <v>24</v>
      </c>
      <c r="D5">
        <v>441</v>
      </c>
    </row>
    <row r="6" spans="1:5">
      <c r="A6" t="s">
        <v>1348</v>
      </c>
      <c r="B6" t="s">
        <v>5</v>
      </c>
      <c r="C6" t="s">
        <v>23</v>
      </c>
      <c r="D6">
        <v>462</v>
      </c>
    </row>
    <row r="7" spans="1:5">
      <c r="A7" t="s">
        <v>1348</v>
      </c>
      <c r="B7" t="s">
        <v>5</v>
      </c>
      <c r="C7" t="s">
        <v>20</v>
      </c>
      <c r="D7">
        <v>463</v>
      </c>
    </row>
    <row r="8" spans="1:5">
      <c r="A8" t="s">
        <v>1348</v>
      </c>
      <c r="B8" t="s">
        <v>5</v>
      </c>
      <c r="C8" t="s">
        <v>18</v>
      </c>
      <c r="D8">
        <v>464</v>
      </c>
    </row>
    <row r="9" spans="1:5">
      <c r="A9" t="s">
        <v>1348</v>
      </c>
      <c r="B9" t="s">
        <v>5</v>
      </c>
      <c r="C9" t="s">
        <v>10</v>
      </c>
      <c r="D9">
        <v>474</v>
      </c>
    </row>
    <row r="10" spans="1:5">
      <c r="A10" t="s">
        <v>1348</v>
      </c>
      <c r="B10" t="s">
        <v>5</v>
      </c>
      <c r="C10" t="s">
        <v>26</v>
      </c>
      <c r="D10">
        <v>481</v>
      </c>
    </row>
    <row r="11" spans="1:5">
      <c r="A11" t="s">
        <v>1348</v>
      </c>
      <c r="B11" t="s">
        <v>5</v>
      </c>
      <c r="C11" t="s">
        <v>77</v>
      </c>
      <c r="D11">
        <v>498</v>
      </c>
    </row>
    <row r="12" spans="1:5">
      <c r="A12" t="s">
        <v>1348</v>
      </c>
      <c r="B12" t="s">
        <v>5</v>
      </c>
      <c r="C12" t="s">
        <v>9</v>
      </c>
      <c r="D12">
        <v>569</v>
      </c>
      <c r="E12" t="s">
        <v>1352</v>
      </c>
    </row>
    <row r="13" spans="1:5">
      <c r="A13" t="s">
        <v>1348</v>
      </c>
      <c r="B13" t="s">
        <v>5</v>
      </c>
      <c r="C13" t="s">
        <v>19</v>
      </c>
      <c r="D13">
        <v>639</v>
      </c>
    </row>
    <row r="14" spans="1:5">
      <c r="A14" t="s">
        <v>1348</v>
      </c>
      <c r="B14" t="s">
        <v>5</v>
      </c>
      <c r="C14" t="s">
        <v>16</v>
      </c>
      <c r="D14">
        <v>653</v>
      </c>
    </row>
    <row r="15" spans="1:5">
      <c r="A15" t="s">
        <v>1348</v>
      </c>
      <c r="B15" t="s">
        <v>5</v>
      </c>
      <c r="C15" t="s">
        <v>8</v>
      </c>
      <c r="D15">
        <v>655</v>
      </c>
    </row>
    <row r="16" spans="1:5">
      <c r="A16" t="s">
        <v>1348</v>
      </c>
      <c r="B16" t="s">
        <v>5</v>
      </c>
      <c r="C16" t="s">
        <v>25</v>
      </c>
      <c r="D16">
        <v>659</v>
      </c>
    </row>
    <row r="17" spans="1:5">
      <c r="A17" t="s">
        <v>1348</v>
      </c>
      <c r="B17" t="s">
        <v>5</v>
      </c>
      <c r="C17" t="s">
        <v>15</v>
      </c>
      <c r="D17">
        <v>663</v>
      </c>
    </row>
    <row r="18" spans="1:5">
      <c r="A18" t="s">
        <v>1348</v>
      </c>
      <c r="B18" t="s">
        <v>5</v>
      </c>
      <c r="C18" t="s">
        <v>7</v>
      </c>
      <c r="D18">
        <v>670</v>
      </c>
    </row>
    <row r="19" spans="1:5">
      <c r="A19" t="s">
        <v>1348</v>
      </c>
      <c r="B19" t="s">
        <v>5</v>
      </c>
      <c r="C19" t="s">
        <v>1337</v>
      </c>
      <c r="D19">
        <v>686</v>
      </c>
    </row>
    <row r="20" spans="1:5">
      <c r="A20" t="s">
        <v>1348</v>
      </c>
      <c r="B20" t="s">
        <v>5</v>
      </c>
      <c r="C20" t="s">
        <v>80</v>
      </c>
      <c r="D20">
        <v>686</v>
      </c>
    </row>
    <row r="21" spans="1:5">
      <c r="A21" t="s">
        <v>1348</v>
      </c>
      <c r="B21" t="s">
        <v>5</v>
      </c>
      <c r="C21" t="s">
        <v>1338</v>
      </c>
      <c r="D21">
        <v>686</v>
      </c>
      <c r="E21" t="s">
        <v>1353</v>
      </c>
    </row>
    <row r="22" spans="1:5">
      <c r="A22" t="s">
        <v>1348</v>
      </c>
      <c r="B22" t="s">
        <v>5</v>
      </c>
      <c r="C22" t="s">
        <v>22</v>
      </c>
      <c r="D22">
        <v>763</v>
      </c>
    </row>
    <row r="23" spans="1:5">
      <c r="A23" t="s">
        <v>1348</v>
      </c>
      <c r="B23" t="s">
        <v>5</v>
      </c>
      <c r="C23" t="s">
        <v>21</v>
      </c>
      <c r="D23">
        <v>786</v>
      </c>
    </row>
    <row r="24" spans="1:5">
      <c r="A24" t="s">
        <v>1348</v>
      </c>
      <c r="B24" t="s">
        <v>5</v>
      </c>
      <c r="C24" t="s">
        <v>13</v>
      </c>
      <c r="D24">
        <v>797</v>
      </c>
    </row>
    <row r="25" spans="1:5">
      <c r="A25" t="s">
        <v>1348</v>
      </c>
      <c r="B25" t="s">
        <v>5</v>
      </c>
      <c r="C25" t="s">
        <v>78</v>
      </c>
      <c r="D25">
        <v>802</v>
      </c>
    </row>
    <row r="26" spans="1:5">
      <c r="A26" t="s">
        <v>1348</v>
      </c>
      <c r="B26" t="s">
        <v>5</v>
      </c>
      <c r="C26" t="s">
        <v>14</v>
      </c>
      <c r="D26">
        <v>803</v>
      </c>
    </row>
    <row r="27" spans="1:5">
      <c r="A27" t="s">
        <v>1348</v>
      </c>
      <c r="B27" t="s">
        <v>5</v>
      </c>
      <c r="C27" t="s">
        <v>79</v>
      </c>
      <c r="D27">
        <v>826</v>
      </c>
    </row>
    <row r="28" spans="1:5">
      <c r="A28" t="s">
        <v>1348</v>
      </c>
      <c r="B28" t="s">
        <v>5</v>
      </c>
      <c r="C28" t="s">
        <v>1339</v>
      </c>
      <c r="D28">
        <v>826</v>
      </c>
    </row>
    <row r="29" spans="1:5">
      <c r="A29" t="s">
        <v>1348</v>
      </c>
      <c r="B29" t="s">
        <v>5</v>
      </c>
      <c r="C29" t="s">
        <v>1340</v>
      </c>
      <c r="D29">
        <v>826</v>
      </c>
    </row>
    <row r="30" spans="1:5">
      <c r="A30" t="s">
        <v>1348</v>
      </c>
      <c r="B30" t="s">
        <v>5</v>
      </c>
      <c r="C30" t="s">
        <v>6</v>
      </c>
      <c r="D30">
        <v>1178</v>
      </c>
      <c r="E30" t="s">
        <v>1354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07E1B-567B-DC48-AE48-3E0FB0776484}">
  <dimension ref="A1:E30"/>
  <sheetViews>
    <sheetView workbookViewId="0">
      <selection activeCell="U63" sqref="U63"/>
    </sheetView>
  </sheetViews>
  <sheetFormatPr baseColWidth="10" defaultRowHeight="16"/>
  <cols>
    <col min="1" max="1" width="12.83203125" bestFit="1" customWidth="1"/>
    <col min="3" max="3" width="29.1640625" bestFit="1" customWidth="1"/>
  </cols>
  <sheetData>
    <row r="1" spans="1:5">
      <c r="A1" t="s">
        <v>1349</v>
      </c>
      <c r="B1" t="s">
        <v>5</v>
      </c>
      <c r="C1" t="s">
        <v>5</v>
      </c>
      <c r="D1">
        <v>289</v>
      </c>
    </row>
    <row r="2" spans="1:5">
      <c r="A2" t="s">
        <v>1349</v>
      </c>
      <c r="B2" t="s">
        <v>5</v>
      </c>
      <c r="C2" t="s">
        <v>12</v>
      </c>
      <c r="D2">
        <v>311</v>
      </c>
    </row>
    <row r="3" spans="1:5">
      <c r="A3" t="s">
        <v>1349</v>
      </c>
      <c r="B3" t="s">
        <v>5</v>
      </c>
      <c r="C3" t="s">
        <v>17</v>
      </c>
      <c r="D3">
        <v>324</v>
      </c>
    </row>
    <row r="4" spans="1:5">
      <c r="A4" t="s">
        <v>1349</v>
      </c>
      <c r="B4" t="s">
        <v>5</v>
      </c>
      <c r="C4" t="s">
        <v>11</v>
      </c>
      <c r="D4">
        <v>509</v>
      </c>
    </row>
    <row r="5" spans="1:5">
      <c r="A5" t="s">
        <v>1349</v>
      </c>
      <c r="B5" t="s">
        <v>5</v>
      </c>
      <c r="C5" t="s">
        <v>18</v>
      </c>
      <c r="D5">
        <v>511</v>
      </c>
    </row>
    <row r="6" spans="1:5">
      <c r="A6" t="s">
        <v>1349</v>
      </c>
      <c r="B6" t="s">
        <v>5</v>
      </c>
      <c r="C6" t="s">
        <v>26</v>
      </c>
      <c r="D6">
        <v>517</v>
      </c>
    </row>
    <row r="7" spans="1:5">
      <c r="A7" t="s">
        <v>1349</v>
      </c>
      <c r="B7" t="s">
        <v>5</v>
      </c>
      <c r="C7" t="s">
        <v>10</v>
      </c>
      <c r="D7">
        <v>519</v>
      </c>
    </row>
    <row r="8" spans="1:5">
      <c r="A8" t="s">
        <v>1349</v>
      </c>
      <c r="B8" t="s">
        <v>5</v>
      </c>
      <c r="C8" t="s">
        <v>23</v>
      </c>
      <c r="D8">
        <v>534</v>
      </c>
    </row>
    <row r="9" spans="1:5">
      <c r="A9" t="s">
        <v>1349</v>
      </c>
      <c r="B9" t="s">
        <v>5</v>
      </c>
      <c r="C9" t="s">
        <v>24</v>
      </c>
      <c r="D9">
        <v>535</v>
      </c>
    </row>
    <row r="10" spans="1:5">
      <c r="A10" t="s">
        <v>1349</v>
      </c>
      <c r="B10" t="s">
        <v>5</v>
      </c>
      <c r="C10" t="s">
        <v>77</v>
      </c>
      <c r="D10">
        <v>545</v>
      </c>
    </row>
    <row r="11" spans="1:5">
      <c r="A11" t="s">
        <v>1349</v>
      </c>
      <c r="B11" t="s">
        <v>5</v>
      </c>
      <c r="C11" t="s">
        <v>20</v>
      </c>
      <c r="D11">
        <v>546</v>
      </c>
    </row>
    <row r="12" spans="1:5">
      <c r="A12" t="s">
        <v>1349</v>
      </c>
      <c r="B12" t="s">
        <v>5</v>
      </c>
      <c r="C12" t="s">
        <v>9</v>
      </c>
      <c r="D12">
        <v>658</v>
      </c>
      <c r="E12" t="s">
        <v>1352</v>
      </c>
    </row>
    <row r="13" spans="1:5">
      <c r="A13" t="s">
        <v>1349</v>
      </c>
      <c r="B13" t="s">
        <v>5</v>
      </c>
      <c r="C13" t="s">
        <v>8</v>
      </c>
      <c r="D13">
        <v>731</v>
      </c>
    </row>
    <row r="14" spans="1:5">
      <c r="A14" t="s">
        <v>1349</v>
      </c>
      <c r="B14" t="s">
        <v>5</v>
      </c>
      <c r="C14" t="s">
        <v>19</v>
      </c>
      <c r="D14">
        <v>744</v>
      </c>
    </row>
    <row r="15" spans="1:5">
      <c r="A15" t="s">
        <v>1349</v>
      </c>
      <c r="B15" t="s">
        <v>5</v>
      </c>
      <c r="C15" t="s">
        <v>7</v>
      </c>
      <c r="D15">
        <v>748</v>
      </c>
    </row>
    <row r="16" spans="1:5">
      <c r="A16" t="s">
        <v>1349</v>
      </c>
      <c r="B16" t="s">
        <v>5</v>
      </c>
      <c r="C16" t="s">
        <v>25</v>
      </c>
      <c r="D16">
        <v>752</v>
      </c>
    </row>
    <row r="17" spans="1:5">
      <c r="A17" t="s">
        <v>1349</v>
      </c>
      <c r="B17" t="s">
        <v>5</v>
      </c>
      <c r="C17" t="s">
        <v>16</v>
      </c>
      <c r="D17">
        <v>757</v>
      </c>
    </row>
    <row r="18" spans="1:5">
      <c r="A18" t="s">
        <v>1349</v>
      </c>
      <c r="B18" t="s">
        <v>5</v>
      </c>
      <c r="C18" t="s">
        <v>15</v>
      </c>
      <c r="D18">
        <v>764</v>
      </c>
    </row>
    <row r="19" spans="1:5">
      <c r="A19" t="s">
        <v>1349</v>
      </c>
      <c r="B19" t="s">
        <v>5</v>
      </c>
      <c r="C19" t="s">
        <v>1337</v>
      </c>
      <c r="D19">
        <v>795</v>
      </c>
    </row>
    <row r="20" spans="1:5">
      <c r="A20" t="s">
        <v>1349</v>
      </c>
      <c r="B20" t="s">
        <v>5</v>
      </c>
      <c r="C20" t="s">
        <v>80</v>
      </c>
      <c r="D20">
        <v>795</v>
      </c>
    </row>
    <row r="21" spans="1:5">
      <c r="A21" t="s">
        <v>1349</v>
      </c>
      <c r="B21" t="s">
        <v>5</v>
      </c>
      <c r="C21" t="s">
        <v>1338</v>
      </c>
      <c r="D21">
        <v>795</v>
      </c>
      <c r="E21" t="s">
        <v>1353</v>
      </c>
    </row>
    <row r="22" spans="1:5">
      <c r="A22" t="s">
        <v>1349</v>
      </c>
      <c r="B22" t="s">
        <v>5</v>
      </c>
      <c r="C22" t="s">
        <v>22</v>
      </c>
      <c r="D22">
        <v>903</v>
      </c>
    </row>
    <row r="23" spans="1:5">
      <c r="A23" t="s">
        <v>1349</v>
      </c>
      <c r="B23" t="s">
        <v>5</v>
      </c>
      <c r="C23" t="s">
        <v>21</v>
      </c>
      <c r="D23">
        <v>922</v>
      </c>
    </row>
    <row r="24" spans="1:5">
      <c r="A24" t="s">
        <v>1349</v>
      </c>
      <c r="B24" t="s">
        <v>5</v>
      </c>
      <c r="C24" t="s">
        <v>14</v>
      </c>
      <c r="D24">
        <v>929</v>
      </c>
    </row>
    <row r="25" spans="1:5">
      <c r="A25" t="s">
        <v>1349</v>
      </c>
      <c r="B25" t="s">
        <v>5</v>
      </c>
      <c r="C25" t="s">
        <v>13</v>
      </c>
      <c r="D25">
        <v>948</v>
      </c>
    </row>
    <row r="26" spans="1:5">
      <c r="A26" t="s">
        <v>1349</v>
      </c>
      <c r="B26" t="s">
        <v>5</v>
      </c>
      <c r="C26" t="s">
        <v>78</v>
      </c>
      <c r="D26">
        <v>949</v>
      </c>
    </row>
    <row r="27" spans="1:5">
      <c r="A27" t="s">
        <v>1349</v>
      </c>
      <c r="B27" t="s">
        <v>5</v>
      </c>
      <c r="C27" t="s">
        <v>79</v>
      </c>
      <c r="D27">
        <v>969</v>
      </c>
    </row>
    <row r="28" spans="1:5">
      <c r="A28" t="s">
        <v>1349</v>
      </c>
      <c r="B28" t="s">
        <v>5</v>
      </c>
      <c r="C28" t="s">
        <v>1339</v>
      </c>
      <c r="D28">
        <v>969</v>
      </c>
    </row>
    <row r="29" spans="1:5">
      <c r="A29" t="s">
        <v>1349</v>
      </c>
      <c r="B29" t="s">
        <v>5</v>
      </c>
      <c r="C29" t="s">
        <v>1340</v>
      </c>
      <c r="D29">
        <v>969</v>
      </c>
    </row>
    <row r="30" spans="1:5">
      <c r="A30" t="s">
        <v>1349</v>
      </c>
      <c r="B30" t="s">
        <v>5</v>
      </c>
      <c r="C30" t="s">
        <v>6</v>
      </c>
      <c r="D30">
        <v>1413</v>
      </c>
      <c r="E30" t="s">
        <v>1354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5DC9E-CE3A-374B-A20F-001397CF77D5}">
  <dimension ref="A1:E30"/>
  <sheetViews>
    <sheetView workbookViewId="0">
      <selection activeCell="E31" sqref="E31"/>
    </sheetView>
  </sheetViews>
  <sheetFormatPr baseColWidth="10" defaultRowHeight="16"/>
  <cols>
    <col min="1" max="1" width="12.83203125" bestFit="1" customWidth="1"/>
    <col min="3" max="3" width="29.1640625" bestFit="1" customWidth="1"/>
  </cols>
  <sheetData>
    <row r="1" spans="1:5">
      <c r="A1" t="s">
        <v>1350</v>
      </c>
      <c r="B1" t="s">
        <v>5</v>
      </c>
      <c r="C1" t="s">
        <v>5</v>
      </c>
      <c r="D1">
        <v>299</v>
      </c>
    </row>
    <row r="2" spans="1:5">
      <c r="A2" t="s">
        <v>1350</v>
      </c>
      <c r="B2" t="s">
        <v>5</v>
      </c>
      <c r="C2" t="s">
        <v>12</v>
      </c>
      <c r="D2">
        <v>336</v>
      </c>
    </row>
    <row r="3" spans="1:5">
      <c r="A3" t="s">
        <v>1350</v>
      </c>
      <c r="B3" t="s">
        <v>5</v>
      </c>
      <c r="C3" t="s">
        <v>17</v>
      </c>
      <c r="D3">
        <v>348</v>
      </c>
    </row>
    <row r="4" spans="1:5">
      <c r="A4" t="s">
        <v>1350</v>
      </c>
      <c r="B4" t="s">
        <v>5</v>
      </c>
      <c r="C4" t="s">
        <v>11</v>
      </c>
      <c r="D4">
        <v>551</v>
      </c>
    </row>
    <row r="5" spans="1:5">
      <c r="A5" t="s">
        <v>1350</v>
      </c>
      <c r="B5" t="s">
        <v>5</v>
      </c>
      <c r="C5" t="s">
        <v>18</v>
      </c>
      <c r="D5">
        <v>579</v>
      </c>
    </row>
    <row r="6" spans="1:5">
      <c r="A6" t="s">
        <v>1350</v>
      </c>
      <c r="B6" t="s">
        <v>5</v>
      </c>
      <c r="C6" t="s">
        <v>26</v>
      </c>
      <c r="D6">
        <v>593</v>
      </c>
    </row>
    <row r="7" spans="1:5">
      <c r="A7" t="s">
        <v>1350</v>
      </c>
      <c r="B7" t="s">
        <v>5</v>
      </c>
      <c r="C7" t="s">
        <v>10</v>
      </c>
      <c r="D7">
        <v>595</v>
      </c>
    </row>
    <row r="8" spans="1:5">
      <c r="A8" t="s">
        <v>1350</v>
      </c>
      <c r="B8" t="s">
        <v>5</v>
      </c>
      <c r="C8" t="s">
        <v>24</v>
      </c>
      <c r="D8">
        <v>601</v>
      </c>
    </row>
    <row r="9" spans="1:5">
      <c r="A9" t="s">
        <v>1350</v>
      </c>
      <c r="B9" t="s">
        <v>5</v>
      </c>
      <c r="C9" t="s">
        <v>23</v>
      </c>
      <c r="D9">
        <v>605</v>
      </c>
    </row>
    <row r="10" spans="1:5">
      <c r="A10" t="s">
        <v>1350</v>
      </c>
      <c r="B10" t="s">
        <v>5</v>
      </c>
      <c r="C10" t="s">
        <v>20</v>
      </c>
      <c r="D10">
        <v>607</v>
      </c>
    </row>
    <row r="11" spans="1:5">
      <c r="A11" t="s">
        <v>1350</v>
      </c>
      <c r="B11" t="s">
        <v>5</v>
      </c>
      <c r="C11" t="s">
        <v>77</v>
      </c>
      <c r="D11">
        <v>625</v>
      </c>
    </row>
    <row r="12" spans="1:5">
      <c r="A12" t="s">
        <v>1350</v>
      </c>
      <c r="B12" t="s">
        <v>5</v>
      </c>
      <c r="C12" t="s">
        <v>9</v>
      </c>
      <c r="D12">
        <v>732</v>
      </c>
      <c r="E12" t="s">
        <v>1352</v>
      </c>
    </row>
    <row r="13" spans="1:5">
      <c r="A13" t="s">
        <v>1350</v>
      </c>
      <c r="B13" t="s">
        <v>5</v>
      </c>
      <c r="C13" t="s">
        <v>19</v>
      </c>
      <c r="D13">
        <v>815</v>
      </c>
    </row>
    <row r="14" spans="1:5">
      <c r="A14" t="s">
        <v>1350</v>
      </c>
      <c r="B14" t="s">
        <v>5</v>
      </c>
      <c r="C14" t="s">
        <v>16</v>
      </c>
      <c r="D14">
        <v>828</v>
      </c>
    </row>
    <row r="15" spans="1:5">
      <c r="A15" t="s">
        <v>1350</v>
      </c>
      <c r="B15" t="s">
        <v>5</v>
      </c>
      <c r="C15" t="s">
        <v>25</v>
      </c>
      <c r="D15">
        <v>840</v>
      </c>
    </row>
    <row r="16" spans="1:5">
      <c r="A16" t="s">
        <v>1350</v>
      </c>
      <c r="B16" t="s">
        <v>5</v>
      </c>
      <c r="C16" t="s">
        <v>15</v>
      </c>
      <c r="D16">
        <v>847</v>
      </c>
    </row>
    <row r="17" spans="1:5">
      <c r="A17" t="s">
        <v>1350</v>
      </c>
      <c r="B17" t="s">
        <v>5</v>
      </c>
      <c r="C17" t="s">
        <v>8</v>
      </c>
      <c r="D17">
        <v>851</v>
      </c>
    </row>
    <row r="18" spans="1:5">
      <c r="A18" t="s">
        <v>1350</v>
      </c>
      <c r="B18" t="s">
        <v>5</v>
      </c>
      <c r="C18" t="s">
        <v>7</v>
      </c>
      <c r="D18">
        <v>860</v>
      </c>
    </row>
    <row r="19" spans="1:5">
      <c r="A19" t="s">
        <v>1350</v>
      </c>
      <c r="B19" t="s">
        <v>5</v>
      </c>
      <c r="C19" t="s">
        <v>1337</v>
      </c>
      <c r="D19">
        <v>870</v>
      </c>
    </row>
    <row r="20" spans="1:5">
      <c r="A20" t="s">
        <v>1350</v>
      </c>
      <c r="B20" t="s">
        <v>5</v>
      </c>
      <c r="C20" t="s">
        <v>80</v>
      </c>
      <c r="D20">
        <v>870</v>
      </c>
    </row>
    <row r="21" spans="1:5">
      <c r="A21" t="s">
        <v>1350</v>
      </c>
      <c r="B21" t="s">
        <v>5</v>
      </c>
      <c r="C21" t="s">
        <v>1338</v>
      </c>
      <c r="D21">
        <v>870</v>
      </c>
      <c r="E21" t="s">
        <v>1353</v>
      </c>
    </row>
    <row r="22" spans="1:5">
      <c r="A22" t="s">
        <v>1350</v>
      </c>
      <c r="B22" t="s">
        <v>5</v>
      </c>
      <c r="C22" t="s">
        <v>21</v>
      </c>
      <c r="D22">
        <v>1045</v>
      </c>
    </row>
    <row r="23" spans="1:5">
      <c r="A23" t="s">
        <v>1350</v>
      </c>
      <c r="B23" t="s">
        <v>5</v>
      </c>
      <c r="C23" t="s">
        <v>22</v>
      </c>
      <c r="D23">
        <v>1046</v>
      </c>
    </row>
    <row r="24" spans="1:5">
      <c r="A24" t="s">
        <v>1350</v>
      </c>
      <c r="B24" t="s">
        <v>5</v>
      </c>
      <c r="C24" t="s">
        <v>14</v>
      </c>
      <c r="D24">
        <v>1055</v>
      </c>
    </row>
    <row r="25" spans="1:5">
      <c r="A25" t="s">
        <v>1350</v>
      </c>
      <c r="B25" t="s">
        <v>5</v>
      </c>
      <c r="C25" t="s">
        <v>13</v>
      </c>
      <c r="D25">
        <v>1069</v>
      </c>
    </row>
    <row r="26" spans="1:5">
      <c r="A26" t="s">
        <v>1350</v>
      </c>
      <c r="B26" t="s">
        <v>5</v>
      </c>
      <c r="C26" t="s">
        <v>79</v>
      </c>
      <c r="D26">
        <v>1098</v>
      </c>
    </row>
    <row r="27" spans="1:5">
      <c r="A27" t="s">
        <v>1350</v>
      </c>
      <c r="B27" t="s">
        <v>5</v>
      </c>
      <c r="C27" t="s">
        <v>1339</v>
      </c>
      <c r="D27">
        <v>1098</v>
      </c>
    </row>
    <row r="28" spans="1:5">
      <c r="A28" t="s">
        <v>1350</v>
      </c>
      <c r="B28" t="s">
        <v>5</v>
      </c>
      <c r="C28" t="s">
        <v>1340</v>
      </c>
      <c r="D28">
        <v>1098</v>
      </c>
    </row>
    <row r="29" spans="1:5">
      <c r="A29" t="s">
        <v>1350</v>
      </c>
      <c r="B29" t="s">
        <v>5</v>
      </c>
      <c r="C29" t="s">
        <v>78</v>
      </c>
      <c r="D29">
        <v>1099</v>
      </c>
    </row>
    <row r="30" spans="1:5">
      <c r="A30" t="s">
        <v>1350</v>
      </c>
      <c r="B30" t="s">
        <v>5</v>
      </c>
      <c r="C30" t="s">
        <v>6</v>
      </c>
      <c r="D30">
        <v>1591</v>
      </c>
      <c r="E30" t="s">
        <v>1354</v>
      </c>
    </row>
  </sheetData>
  <sortState xmlns:xlrd2="http://schemas.microsoft.com/office/spreadsheetml/2017/richdata2" ref="A1:D392">
    <sortCondition ref="A1:A392"/>
  </sortState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BA955-5534-E747-8C45-C00E05A207B7}">
  <dimension ref="A1:E30"/>
  <sheetViews>
    <sheetView workbookViewId="0">
      <selection activeCell="E31" sqref="E31"/>
    </sheetView>
  </sheetViews>
  <sheetFormatPr baseColWidth="10" defaultRowHeight="16"/>
  <cols>
    <col min="1" max="1" width="12.83203125" bestFit="1" customWidth="1"/>
    <col min="3" max="3" width="29.1640625" bestFit="1" customWidth="1"/>
  </cols>
  <sheetData>
    <row r="1" spans="1:5">
      <c r="A1" t="s">
        <v>1351</v>
      </c>
      <c r="B1" t="s">
        <v>5</v>
      </c>
      <c r="C1" t="s">
        <v>5</v>
      </c>
      <c r="D1">
        <v>357</v>
      </c>
    </row>
    <row r="2" spans="1:5">
      <c r="A2" t="s">
        <v>1351</v>
      </c>
      <c r="B2" t="s">
        <v>5</v>
      </c>
      <c r="C2" t="s">
        <v>12</v>
      </c>
      <c r="D2">
        <v>389</v>
      </c>
    </row>
    <row r="3" spans="1:5">
      <c r="A3" t="s">
        <v>1351</v>
      </c>
      <c r="B3" t="s">
        <v>5</v>
      </c>
      <c r="C3" t="s">
        <v>17</v>
      </c>
      <c r="D3">
        <v>413</v>
      </c>
    </row>
    <row r="4" spans="1:5">
      <c r="A4" t="s">
        <v>1351</v>
      </c>
      <c r="B4" t="s">
        <v>5</v>
      </c>
      <c r="C4" t="s">
        <v>11</v>
      </c>
      <c r="D4">
        <v>655</v>
      </c>
    </row>
    <row r="5" spans="1:5">
      <c r="A5" t="s">
        <v>1351</v>
      </c>
      <c r="B5" t="s">
        <v>5</v>
      </c>
      <c r="C5" t="s">
        <v>18</v>
      </c>
      <c r="D5">
        <v>658</v>
      </c>
    </row>
    <row r="6" spans="1:5">
      <c r="A6" t="s">
        <v>1351</v>
      </c>
      <c r="B6" t="s">
        <v>5</v>
      </c>
      <c r="C6" t="s">
        <v>10</v>
      </c>
      <c r="D6">
        <v>662</v>
      </c>
    </row>
    <row r="7" spans="1:5">
      <c r="A7" t="s">
        <v>1351</v>
      </c>
      <c r="B7" t="s">
        <v>5</v>
      </c>
      <c r="C7" t="s">
        <v>26</v>
      </c>
      <c r="D7">
        <v>667</v>
      </c>
    </row>
    <row r="8" spans="1:5">
      <c r="A8" t="s">
        <v>1351</v>
      </c>
      <c r="B8" t="s">
        <v>5</v>
      </c>
      <c r="C8" t="s">
        <v>24</v>
      </c>
      <c r="D8">
        <v>682</v>
      </c>
    </row>
    <row r="9" spans="1:5">
      <c r="A9" t="s">
        <v>1351</v>
      </c>
      <c r="B9" t="s">
        <v>5</v>
      </c>
      <c r="C9" t="s">
        <v>23</v>
      </c>
      <c r="D9">
        <v>683</v>
      </c>
    </row>
    <row r="10" spans="1:5">
      <c r="A10" t="s">
        <v>1351</v>
      </c>
      <c r="B10" t="s">
        <v>5</v>
      </c>
      <c r="C10" t="s">
        <v>77</v>
      </c>
      <c r="D10">
        <v>696</v>
      </c>
    </row>
    <row r="11" spans="1:5">
      <c r="A11" t="s">
        <v>1351</v>
      </c>
      <c r="B11" t="s">
        <v>5</v>
      </c>
      <c r="C11" t="s">
        <v>20</v>
      </c>
      <c r="D11">
        <v>721</v>
      </c>
    </row>
    <row r="12" spans="1:5">
      <c r="A12" t="s">
        <v>1351</v>
      </c>
      <c r="B12" t="s">
        <v>5</v>
      </c>
      <c r="C12" t="s">
        <v>9</v>
      </c>
      <c r="D12">
        <v>829</v>
      </c>
      <c r="E12" t="s">
        <v>1352</v>
      </c>
    </row>
    <row r="13" spans="1:5">
      <c r="A13" t="s">
        <v>1351</v>
      </c>
      <c r="B13" t="s">
        <v>5</v>
      </c>
      <c r="C13" t="s">
        <v>8</v>
      </c>
      <c r="D13">
        <v>957</v>
      </c>
    </row>
    <row r="14" spans="1:5">
      <c r="A14" t="s">
        <v>1351</v>
      </c>
      <c r="B14" t="s">
        <v>5</v>
      </c>
      <c r="C14" t="s">
        <v>19</v>
      </c>
      <c r="D14">
        <v>966</v>
      </c>
    </row>
    <row r="15" spans="1:5">
      <c r="A15" t="s">
        <v>1351</v>
      </c>
      <c r="B15" t="s">
        <v>5</v>
      </c>
      <c r="C15" t="s">
        <v>7</v>
      </c>
      <c r="D15">
        <v>975</v>
      </c>
    </row>
    <row r="16" spans="1:5">
      <c r="A16" t="s">
        <v>1351</v>
      </c>
      <c r="B16" t="s">
        <v>5</v>
      </c>
      <c r="C16" t="s">
        <v>16</v>
      </c>
      <c r="D16">
        <v>979</v>
      </c>
    </row>
    <row r="17" spans="1:5">
      <c r="A17" t="s">
        <v>1351</v>
      </c>
      <c r="B17" t="s">
        <v>5</v>
      </c>
      <c r="C17" t="s">
        <v>15</v>
      </c>
      <c r="D17">
        <v>987</v>
      </c>
    </row>
    <row r="18" spans="1:5">
      <c r="A18" t="s">
        <v>1351</v>
      </c>
      <c r="B18" t="s">
        <v>5</v>
      </c>
      <c r="C18" t="s">
        <v>25</v>
      </c>
      <c r="D18">
        <v>987</v>
      </c>
    </row>
    <row r="19" spans="1:5">
      <c r="A19" t="s">
        <v>1351</v>
      </c>
      <c r="B19" t="s">
        <v>5</v>
      </c>
      <c r="C19" t="s">
        <v>1337</v>
      </c>
      <c r="D19">
        <v>1028</v>
      </c>
    </row>
    <row r="20" spans="1:5">
      <c r="A20" t="s">
        <v>1351</v>
      </c>
      <c r="B20" t="s">
        <v>5</v>
      </c>
      <c r="C20" t="s">
        <v>80</v>
      </c>
      <c r="D20">
        <v>1028</v>
      </c>
    </row>
    <row r="21" spans="1:5">
      <c r="A21" t="s">
        <v>1351</v>
      </c>
      <c r="B21" t="s">
        <v>5</v>
      </c>
      <c r="C21" t="s">
        <v>1338</v>
      </c>
      <c r="D21">
        <v>1028</v>
      </c>
      <c r="E21" t="s">
        <v>1353</v>
      </c>
    </row>
    <row r="22" spans="1:5">
      <c r="A22" t="s">
        <v>1351</v>
      </c>
      <c r="B22" t="s">
        <v>5</v>
      </c>
      <c r="C22" t="s">
        <v>22</v>
      </c>
      <c r="D22">
        <v>1223</v>
      </c>
    </row>
    <row r="23" spans="1:5">
      <c r="A23" t="s">
        <v>1351</v>
      </c>
      <c r="B23" t="s">
        <v>5</v>
      </c>
      <c r="C23" t="s">
        <v>21</v>
      </c>
      <c r="D23">
        <v>1266</v>
      </c>
    </row>
    <row r="24" spans="1:5">
      <c r="A24" t="s">
        <v>1351</v>
      </c>
      <c r="B24" t="s">
        <v>5</v>
      </c>
      <c r="C24" t="s">
        <v>13</v>
      </c>
      <c r="D24">
        <v>1275</v>
      </c>
    </row>
    <row r="25" spans="1:5">
      <c r="A25" t="s">
        <v>1351</v>
      </c>
      <c r="B25" t="s">
        <v>5</v>
      </c>
      <c r="C25" t="s">
        <v>14</v>
      </c>
      <c r="D25">
        <v>1275</v>
      </c>
    </row>
    <row r="26" spans="1:5">
      <c r="A26" t="s">
        <v>1351</v>
      </c>
      <c r="B26" t="s">
        <v>5</v>
      </c>
      <c r="C26" t="s">
        <v>78</v>
      </c>
      <c r="D26">
        <v>1285</v>
      </c>
    </row>
    <row r="27" spans="1:5">
      <c r="A27" t="s">
        <v>1351</v>
      </c>
      <c r="B27" t="s">
        <v>5</v>
      </c>
      <c r="C27" t="s">
        <v>79</v>
      </c>
      <c r="D27">
        <v>1330</v>
      </c>
    </row>
    <row r="28" spans="1:5">
      <c r="A28" t="s">
        <v>1351</v>
      </c>
      <c r="B28" t="s">
        <v>5</v>
      </c>
      <c r="C28" t="s">
        <v>1339</v>
      </c>
      <c r="D28">
        <v>1330</v>
      </c>
    </row>
    <row r="29" spans="1:5">
      <c r="A29" t="s">
        <v>1351</v>
      </c>
      <c r="B29" t="s">
        <v>5</v>
      </c>
      <c r="C29" t="s">
        <v>1340</v>
      </c>
      <c r="D29">
        <v>1330</v>
      </c>
    </row>
    <row r="30" spans="1:5">
      <c r="A30" t="s">
        <v>1351</v>
      </c>
      <c r="B30" t="s">
        <v>5</v>
      </c>
      <c r="C30" t="s">
        <v>6</v>
      </c>
      <c r="D30">
        <v>1841</v>
      </c>
      <c r="E30" t="s">
        <v>1354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1A02E-60E5-184C-AAD2-C48AAA1DB8D4}">
  <dimension ref="A1:E30"/>
  <sheetViews>
    <sheetView workbookViewId="0">
      <selection activeCell="H23" sqref="H23"/>
    </sheetView>
  </sheetViews>
  <sheetFormatPr baseColWidth="10" defaultRowHeight="16"/>
  <cols>
    <col min="1" max="1" width="12.83203125" bestFit="1" customWidth="1"/>
    <col min="3" max="3" width="29.1640625" bestFit="1" customWidth="1"/>
  </cols>
  <sheetData>
    <row r="1" spans="1:5">
      <c r="A1" t="s">
        <v>1343</v>
      </c>
      <c r="B1" t="s">
        <v>5</v>
      </c>
      <c r="C1" t="s">
        <v>5</v>
      </c>
      <c r="D1">
        <v>1080</v>
      </c>
    </row>
    <row r="2" spans="1:5">
      <c r="A2" t="s">
        <v>1343</v>
      </c>
      <c r="B2" t="s">
        <v>5</v>
      </c>
      <c r="C2" t="s">
        <v>12</v>
      </c>
      <c r="D2">
        <v>1147</v>
      </c>
    </row>
    <row r="3" spans="1:5">
      <c r="A3" t="s">
        <v>1343</v>
      </c>
      <c r="B3" t="s">
        <v>5</v>
      </c>
      <c r="C3" t="s">
        <v>17</v>
      </c>
      <c r="D3">
        <v>1201</v>
      </c>
    </row>
    <row r="4" spans="1:5">
      <c r="A4" t="s">
        <v>1343</v>
      </c>
      <c r="B4" t="s">
        <v>5</v>
      </c>
      <c r="C4" t="s">
        <v>18</v>
      </c>
      <c r="D4">
        <v>1929</v>
      </c>
    </row>
    <row r="5" spans="1:5">
      <c r="A5" t="s">
        <v>1343</v>
      </c>
      <c r="B5" t="s">
        <v>5</v>
      </c>
      <c r="C5" t="s">
        <v>10</v>
      </c>
      <c r="D5">
        <v>1962</v>
      </c>
    </row>
    <row r="6" spans="1:5">
      <c r="A6" t="s">
        <v>1343</v>
      </c>
      <c r="B6" t="s">
        <v>5</v>
      </c>
      <c r="C6" t="s">
        <v>26</v>
      </c>
      <c r="D6">
        <v>1971</v>
      </c>
    </row>
    <row r="7" spans="1:5">
      <c r="A7" t="s">
        <v>1343</v>
      </c>
      <c r="B7" t="s">
        <v>5</v>
      </c>
      <c r="C7" t="s">
        <v>77</v>
      </c>
      <c r="D7">
        <v>2061</v>
      </c>
      <c r="E7" t="s">
        <v>1352</v>
      </c>
    </row>
    <row r="8" spans="1:5">
      <c r="A8" t="s">
        <v>1343</v>
      </c>
      <c r="B8" t="s">
        <v>5</v>
      </c>
      <c r="C8" t="s">
        <v>11</v>
      </c>
      <c r="D8">
        <v>2313</v>
      </c>
    </row>
    <row r="9" spans="1:5">
      <c r="A9" t="s">
        <v>1343</v>
      </c>
      <c r="B9" t="s">
        <v>5</v>
      </c>
      <c r="C9" t="s">
        <v>23</v>
      </c>
      <c r="D9">
        <v>2362</v>
      </c>
    </row>
    <row r="10" spans="1:5">
      <c r="A10" t="s">
        <v>1343</v>
      </c>
      <c r="B10" t="s">
        <v>5</v>
      </c>
      <c r="C10" t="s">
        <v>24</v>
      </c>
      <c r="D10">
        <v>2366</v>
      </c>
    </row>
    <row r="11" spans="1:5">
      <c r="A11" t="s">
        <v>1343</v>
      </c>
      <c r="B11" t="s">
        <v>5</v>
      </c>
      <c r="C11" t="s">
        <v>20</v>
      </c>
      <c r="D11">
        <v>2412</v>
      </c>
    </row>
    <row r="12" spans="1:5">
      <c r="A12" t="s">
        <v>1343</v>
      </c>
      <c r="B12" t="s">
        <v>5</v>
      </c>
      <c r="C12" t="s">
        <v>9</v>
      </c>
      <c r="D12">
        <v>2554</v>
      </c>
    </row>
    <row r="13" spans="1:5">
      <c r="A13" t="s">
        <v>1343</v>
      </c>
      <c r="B13" t="s">
        <v>5</v>
      </c>
      <c r="C13" t="s">
        <v>8</v>
      </c>
      <c r="D13">
        <v>2879</v>
      </c>
    </row>
    <row r="14" spans="1:5">
      <c r="A14" t="s">
        <v>1343</v>
      </c>
      <c r="B14" t="s">
        <v>5</v>
      </c>
      <c r="C14" t="s">
        <v>7</v>
      </c>
      <c r="D14">
        <v>2910</v>
      </c>
    </row>
    <row r="15" spans="1:5">
      <c r="A15" t="s">
        <v>1343</v>
      </c>
      <c r="B15" t="s">
        <v>5</v>
      </c>
      <c r="C15" t="s">
        <v>16</v>
      </c>
      <c r="D15">
        <v>2963</v>
      </c>
    </row>
    <row r="16" spans="1:5">
      <c r="A16" t="s">
        <v>1343</v>
      </c>
      <c r="B16" t="s">
        <v>5</v>
      </c>
      <c r="C16" t="s">
        <v>25</v>
      </c>
      <c r="D16">
        <v>2993</v>
      </c>
    </row>
    <row r="17" spans="1:5">
      <c r="A17" t="s">
        <v>1343</v>
      </c>
      <c r="B17" t="s">
        <v>5</v>
      </c>
      <c r="C17" t="s">
        <v>19</v>
      </c>
      <c r="D17">
        <v>3004</v>
      </c>
    </row>
    <row r="18" spans="1:5">
      <c r="A18" t="s">
        <v>1343</v>
      </c>
      <c r="B18" t="s">
        <v>5</v>
      </c>
      <c r="C18" t="s">
        <v>15</v>
      </c>
      <c r="D18">
        <v>3105</v>
      </c>
    </row>
    <row r="19" spans="1:5">
      <c r="A19" t="s">
        <v>1343</v>
      </c>
      <c r="B19" t="s">
        <v>5</v>
      </c>
      <c r="C19" t="s">
        <v>1337</v>
      </c>
      <c r="D19">
        <v>3112</v>
      </c>
    </row>
    <row r="20" spans="1:5">
      <c r="A20" t="s">
        <v>1343</v>
      </c>
      <c r="B20" t="s">
        <v>5</v>
      </c>
      <c r="C20" t="s">
        <v>80</v>
      </c>
      <c r="D20">
        <v>3112</v>
      </c>
    </row>
    <row r="21" spans="1:5">
      <c r="A21" t="s">
        <v>1343</v>
      </c>
      <c r="B21" t="s">
        <v>5</v>
      </c>
      <c r="C21" t="s">
        <v>1338</v>
      </c>
      <c r="D21">
        <v>3112</v>
      </c>
      <c r="E21" t="s">
        <v>1353</v>
      </c>
    </row>
    <row r="22" spans="1:5">
      <c r="A22" t="s">
        <v>1343</v>
      </c>
      <c r="B22" t="s">
        <v>5</v>
      </c>
      <c r="C22" t="s">
        <v>22</v>
      </c>
      <c r="D22">
        <v>3722</v>
      </c>
    </row>
    <row r="23" spans="1:5">
      <c r="A23" t="s">
        <v>1343</v>
      </c>
      <c r="B23" t="s">
        <v>5</v>
      </c>
      <c r="C23" t="s">
        <v>21</v>
      </c>
      <c r="D23">
        <v>3809</v>
      </c>
    </row>
    <row r="24" spans="1:5">
      <c r="A24" t="s">
        <v>1343</v>
      </c>
      <c r="B24" t="s">
        <v>5</v>
      </c>
      <c r="C24" t="s">
        <v>14</v>
      </c>
      <c r="D24">
        <v>3821</v>
      </c>
    </row>
    <row r="25" spans="1:5">
      <c r="A25" t="s">
        <v>1343</v>
      </c>
      <c r="B25" t="s">
        <v>5</v>
      </c>
      <c r="C25" t="s">
        <v>13</v>
      </c>
      <c r="D25">
        <v>3887</v>
      </c>
    </row>
    <row r="26" spans="1:5">
      <c r="A26" t="s">
        <v>1343</v>
      </c>
      <c r="B26" t="s">
        <v>5</v>
      </c>
      <c r="C26" t="s">
        <v>78</v>
      </c>
      <c r="D26">
        <v>3909</v>
      </c>
    </row>
    <row r="27" spans="1:5">
      <c r="A27" t="s">
        <v>1343</v>
      </c>
      <c r="B27" t="s">
        <v>5</v>
      </c>
      <c r="C27" t="s">
        <v>79</v>
      </c>
      <c r="D27">
        <v>4000</v>
      </c>
    </row>
    <row r="28" spans="1:5">
      <c r="A28" t="s">
        <v>1343</v>
      </c>
      <c r="B28" t="s">
        <v>5</v>
      </c>
      <c r="C28" t="s">
        <v>1339</v>
      </c>
      <c r="D28">
        <v>4000</v>
      </c>
    </row>
    <row r="29" spans="1:5">
      <c r="A29" t="s">
        <v>1343</v>
      </c>
      <c r="B29" t="s">
        <v>5</v>
      </c>
      <c r="C29" t="s">
        <v>1340</v>
      </c>
      <c r="D29">
        <v>4000</v>
      </c>
    </row>
    <row r="30" spans="1:5">
      <c r="A30" t="s">
        <v>1343</v>
      </c>
      <c r="B30" t="s">
        <v>5</v>
      </c>
      <c r="C30" t="s">
        <v>6</v>
      </c>
      <c r="D30">
        <v>5646</v>
      </c>
      <c r="E30" t="s">
        <v>1354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9D268-9AFF-F948-8A17-69390F75D275}">
  <dimension ref="A1:K35"/>
  <sheetViews>
    <sheetView workbookViewId="0">
      <selection activeCell="B3" sqref="B3"/>
    </sheetView>
  </sheetViews>
  <sheetFormatPr baseColWidth="10" defaultRowHeight="16"/>
  <cols>
    <col min="1" max="1" width="35.5" bestFit="1" customWidth="1"/>
    <col min="3" max="3" width="8.6640625" bestFit="1" customWidth="1"/>
    <col min="4" max="4" width="10.33203125" bestFit="1" customWidth="1"/>
    <col min="5" max="5" width="12" bestFit="1" customWidth="1"/>
  </cols>
  <sheetData>
    <row r="1" spans="1:11" ht="51">
      <c r="A1" s="1" t="s">
        <v>0</v>
      </c>
      <c r="B1" s="153" t="s">
        <v>1233</v>
      </c>
      <c r="C1" s="1" t="s">
        <v>1</v>
      </c>
      <c r="D1" s="148" t="s">
        <v>1234</v>
      </c>
      <c r="E1" s="155" t="s">
        <v>1235</v>
      </c>
      <c r="F1" s="155" t="s">
        <v>1230</v>
      </c>
      <c r="G1" s="155" t="s">
        <v>1231</v>
      </c>
      <c r="H1" s="155" t="s">
        <v>1232</v>
      </c>
      <c r="I1" s="156" t="s">
        <v>71</v>
      </c>
      <c r="J1" s="157" t="s">
        <v>1264</v>
      </c>
      <c r="K1" s="155" t="s">
        <v>1236</v>
      </c>
    </row>
    <row r="2" spans="1:11">
      <c r="A2" s="1" t="s">
        <v>39</v>
      </c>
      <c r="B2" s="232" t="e">
        <f>Калькуляция!#REF!</f>
        <v>#REF!</v>
      </c>
      <c r="C2" s="1">
        <v>23</v>
      </c>
      <c r="D2" s="152">
        <v>0.44</v>
      </c>
      <c r="E2" s="154" t="e">
        <f t="shared" ref="E2:E35" si="0">B2*D2</f>
        <v>#REF!</v>
      </c>
      <c r="F2" s="154">
        <f t="shared" ref="F2:F35" si="1">1.9*C2</f>
        <v>43.699999999999996</v>
      </c>
      <c r="G2" s="154">
        <v>20</v>
      </c>
      <c r="H2" s="154">
        <v>25</v>
      </c>
      <c r="I2" s="154">
        <v>15</v>
      </c>
      <c r="J2" s="154">
        <f>Логистика!B14+(Логистика!B14*0.15)</f>
        <v>700.35</v>
      </c>
      <c r="K2" s="1" t="e">
        <f t="shared" ref="K2:K35" si="2">B2*0.01</f>
        <v>#REF!</v>
      </c>
    </row>
    <row r="3" spans="1:11">
      <c r="A3" s="1" t="s">
        <v>47</v>
      </c>
      <c r="B3" s="232">
        <f>Калькуляция!E3</f>
        <v>5069.8173922505985</v>
      </c>
      <c r="C3" s="1">
        <v>13</v>
      </c>
      <c r="D3" s="152">
        <v>0.43</v>
      </c>
      <c r="E3" s="154">
        <f t="shared" si="0"/>
        <v>2180.0214786677575</v>
      </c>
      <c r="F3" s="154">
        <f t="shared" si="1"/>
        <v>24.7</v>
      </c>
      <c r="G3" s="154">
        <v>20</v>
      </c>
      <c r="H3" s="154">
        <v>25</v>
      </c>
      <c r="I3" s="154">
        <v>15</v>
      </c>
      <c r="J3" s="154">
        <f>Логистика!B23+(Логистика!B23*0.15)</f>
        <v>431.25</v>
      </c>
      <c r="K3" s="1">
        <f t="shared" si="2"/>
        <v>50.698173922505987</v>
      </c>
    </row>
    <row r="4" spans="1:11">
      <c r="A4" s="1" t="s">
        <v>42</v>
      </c>
      <c r="B4" s="232">
        <f>Калькуляция!E4</f>
        <v>1330.7172937937194</v>
      </c>
      <c r="C4" s="1">
        <v>3</v>
      </c>
      <c r="D4" s="152">
        <v>0.43</v>
      </c>
      <c r="E4" s="154">
        <f t="shared" si="0"/>
        <v>572.20843633129937</v>
      </c>
      <c r="F4" s="154">
        <f t="shared" si="1"/>
        <v>5.6999999999999993</v>
      </c>
      <c r="G4" s="154">
        <v>20</v>
      </c>
      <c r="H4" s="154">
        <v>25</v>
      </c>
      <c r="I4" s="154">
        <v>15</v>
      </c>
      <c r="J4" s="154">
        <f>Логистика!B18+(Логистика!B18*0.15)</f>
        <v>162.15</v>
      </c>
      <c r="K4" s="1">
        <f t="shared" si="2"/>
        <v>13.307172937937194</v>
      </c>
    </row>
    <row r="5" spans="1:11">
      <c r="A5" s="1" t="s">
        <v>49</v>
      </c>
      <c r="B5" s="232">
        <f>Калькуляция!E5</f>
        <v>2790.7105990053051</v>
      </c>
      <c r="C5" s="1">
        <v>13</v>
      </c>
      <c r="D5" s="152">
        <v>0.43</v>
      </c>
      <c r="E5" s="154">
        <f t="shared" si="0"/>
        <v>1200.0055575722811</v>
      </c>
      <c r="F5" s="154">
        <f t="shared" si="1"/>
        <v>24.7</v>
      </c>
      <c r="G5" s="154">
        <v>20</v>
      </c>
      <c r="H5" s="154">
        <v>25</v>
      </c>
      <c r="I5" s="154">
        <v>15</v>
      </c>
      <c r="J5" s="154">
        <f>Логистика!B25+(Логистика!B25*0.15)</f>
        <v>431.25</v>
      </c>
      <c r="K5" s="1">
        <f t="shared" si="2"/>
        <v>27.907105990053051</v>
      </c>
    </row>
    <row r="6" spans="1:11">
      <c r="A6" s="1" t="s">
        <v>48</v>
      </c>
      <c r="B6" s="232">
        <f>Калькуляция!E6</f>
        <v>3196.596635780907</v>
      </c>
      <c r="C6" s="1">
        <v>14</v>
      </c>
      <c r="D6" s="152">
        <v>0.43</v>
      </c>
      <c r="E6" s="154">
        <f t="shared" si="0"/>
        <v>1374.5365533857901</v>
      </c>
      <c r="F6" s="154">
        <f t="shared" si="1"/>
        <v>26.599999999999998</v>
      </c>
      <c r="G6" s="154">
        <v>20</v>
      </c>
      <c r="H6" s="154">
        <v>25</v>
      </c>
      <c r="I6" s="154">
        <v>15</v>
      </c>
      <c r="J6" s="154">
        <f>Логистика!B24+(Логистика!B24*0.15)</f>
        <v>458.85</v>
      </c>
      <c r="K6" s="1">
        <f t="shared" si="2"/>
        <v>31.965966357809069</v>
      </c>
    </row>
    <row r="7" spans="1:11">
      <c r="A7" s="1" t="s">
        <v>1268</v>
      </c>
      <c r="B7" s="232">
        <f>Калькуляция!E7</f>
        <v>4755.073077530782</v>
      </c>
      <c r="C7" s="1">
        <v>38</v>
      </c>
      <c r="D7" s="152">
        <v>0.44999999999999996</v>
      </c>
      <c r="E7" s="154">
        <f t="shared" si="0"/>
        <v>2139.7828848888516</v>
      </c>
      <c r="F7" s="154">
        <f t="shared" si="1"/>
        <v>72.2</v>
      </c>
      <c r="G7" s="154">
        <v>20</v>
      </c>
      <c r="H7" s="154">
        <v>25</v>
      </c>
      <c r="I7" s="154">
        <v>15</v>
      </c>
      <c r="J7" s="154">
        <f>Логистика!B22+(Логистика!B22*0.15)</f>
        <v>1104</v>
      </c>
      <c r="K7" s="1">
        <f t="shared" si="2"/>
        <v>47.550730775307819</v>
      </c>
    </row>
    <row r="8" spans="1:11">
      <c r="A8" s="1" t="s">
        <v>1269</v>
      </c>
      <c r="B8" s="232">
        <f>Калькуляция!E8</f>
        <v>5538.2856598132375</v>
      </c>
      <c r="C8" s="1">
        <v>45</v>
      </c>
      <c r="D8" s="152">
        <v>0.44999999999999996</v>
      </c>
      <c r="E8" s="154">
        <f t="shared" si="0"/>
        <v>2492.2285469159565</v>
      </c>
      <c r="F8" s="154">
        <f t="shared" si="1"/>
        <v>85.5</v>
      </c>
      <c r="G8" s="154">
        <v>20</v>
      </c>
      <c r="H8" s="154">
        <v>25</v>
      </c>
      <c r="I8" s="154">
        <v>15</v>
      </c>
      <c r="J8" s="154">
        <f>Логистика!B21+(Логистика!B21*0.15)</f>
        <v>1292.5999999999999</v>
      </c>
      <c r="K8" s="1">
        <f t="shared" si="2"/>
        <v>55.382856598132378</v>
      </c>
    </row>
    <row r="9" spans="1:11">
      <c r="A9" s="1" t="s">
        <v>1270</v>
      </c>
      <c r="B9" s="232">
        <f>Калькуляция!E9</f>
        <v>6006.4496347950217</v>
      </c>
      <c r="C9" s="1">
        <v>50</v>
      </c>
      <c r="D9" s="152">
        <v>0.44999999999999996</v>
      </c>
      <c r="E9" s="154">
        <f t="shared" si="0"/>
        <v>2702.9023356577595</v>
      </c>
      <c r="F9" s="154">
        <f t="shared" si="1"/>
        <v>95</v>
      </c>
      <c r="G9" s="154">
        <v>20</v>
      </c>
      <c r="H9" s="154">
        <v>25</v>
      </c>
      <c r="I9" s="154">
        <v>15</v>
      </c>
      <c r="J9" s="154">
        <f>Логистика!B20+(Логистика!B20*0.15)</f>
        <v>1427.15</v>
      </c>
      <c r="K9" s="1">
        <f t="shared" si="2"/>
        <v>60.064496347950218</v>
      </c>
    </row>
    <row r="10" spans="1:11">
      <c r="A10" s="1" t="s">
        <v>1271</v>
      </c>
      <c r="B10" s="232">
        <f>Калькуляция!E10</f>
        <v>7836.3058680527556</v>
      </c>
      <c r="C10" s="1">
        <v>72</v>
      </c>
      <c r="D10" s="152">
        <v>0.44999999999999996</v>
      </c>
      <c r="E10" s="154">
        <f t="shared" si="0"/>
        <v>3526.3376406237398</v>
      </c>
      <c r="F10" s="154">
        <f t="shared" si="1"/>
        <v>136.79999999999998</v>
      </c>
      <c r="G10" s="154">
        <v>20</v>
      </c>
      <c r="H10" s="154">
        <v>25</v>
      </c>
      <c r="I10" s="154">
        <v>15</v>
      </c>
      <c r="J10" s="154">
        <f>Логистика!B19+(Логистика!B19*0.15)</f>
        <v>2018.25</v>
      </c>
      <c r="K10" s="1">
        <f t="shared" si="2"/>
        <v>78.363058680527558</v>
      </c>
    </row>
    <row r="11" spans="1:11">
      <c r="A11" s="1" t="s">
        <v>37</v>
      </c>
      <c r="B11" s="232">
        <f>Калькуляция!E11</f>
        <v>5324.1189964111436</v>
      </c>
      <c r="C11" s="1">
        <v>14</v>
      </c>
      <c r="D11" s="152">
        <v>0.39999999999999997</v>
      </c>
      <c r="E11" s="154">
        <f t="shared" si="0"/>
        <v>2129.6475985644574</v>
      </c>
      <c r="F11" s="154">
        <f t="shared" si="1"/>
        <v>26.599999999999998</v>
      </c>
      <c r="G11" s="154">
        <v>20</v>
      </c>
      <c r="H11" s="154">
        <v>25</v>
      </c>
      <c r="I11" s="154">
        <v>15</v>
      </c>
      <c r="J11" s="154">
        <f>Логистика!B12+(Логистика!B12*0.15)</f>
        <v>458.85</v>
      </c>
      <c r="K11" s="1">
        <f t="shared" si="2"/>
        <v>53.241189964111435</v>
      </c>
    </row>
    <row r="12" spans="1:11">
      <c r="A12" s="1" t="s">
        <v>38</v>
      </c>
      <c r="B12" s="232">
        <f>Калькуляция!E12</f>
        <v>6260.4327365514728</v>
      </c>
      <c r="C12" s="1">
        <v>14</v>
      </c>
      <c r="D12" s="152">
        <v>0.39999999999999997</v>
      </c>
      <c r="E12" s="154">
        <f t="shared" si="0"/>
        <v>2504.1730946205889</v>
      </c>
      <c r="F12" s="154">
        <f t="shared" si="1"/>
        <v>26.599999999999998</v>
      </c>
      <c r="G12" s="154">
        <v>20</v>
      </c>
      <c r="H12" s="154">
        <v>25</v>
      </c>
      <c r="I12" s="154">
        <v>15</v>
      </c>
      <c r="J12" s="154">
        <f>Логистика!B13+(Логистика!B13*0.15)</f>
        <v>458.85</v>
      </c>
      <c r="K12" s="1">
        <f t="shared" si="2"/>
        <v>62.604327365514727</v>
      </c>
    </row>
    <row r="13" spans="1:11">
      <c r="A13" s="1" t="s">
        <v>36</v>
      </c>
      <c r="B13" s="232">
        <f>Калькуляция!E13</f>
        <v>7486.2973028723191</v>
      </c>
      <c r="C13" s="1">
        <v>35</v>
      </c>
      <c r="D13" s="152">
        <v>0.39999999999999997</v>
      </c>
      <c r="E13" s="154">
        <f t="shared" si="0"/>
        <v>2994.5189211489273</v>
      </c>
      <c r="F13" s="154">
        <f t="shared" si="1"/>
        <v>66.5</v>
      </c>
      <c r="G13" s="154">
        <v>20</v>
      </c>
      <c r="H13" s="154">
        <v>25</v>
      </c>
      <c r="I13" s="154">
        <v>15</v>
      </c>
      <c r="J13" s="154">
        <f>Логистика!B11+(Логистика!B11*0.15)</f>
        <v>1023.5</v>
      </c>
      <c r="K13" s="1">
        <f t="shared" si="2"/>
        <v>74.862973028723189</v>
      </c>
    </row>
    <row r="14" spans="1:11">
      <c r="A14" s="1" t="s">
        <v>35</v>
      </c>
      <c r="B14" s="232">
        <f>Калькуляция!E14</f>
        <v>8274.1354408419247</v>
      </c>
      <c r="C14" s="1">
        <v>34</v>
      </c>
      <c r="D14" s="152">
        <v>0.39999999999999997</v>
      </c>
      <c r="E14" s="154">
        <f t="shared" si="0"/>
        <v>3309.6541763367695</v>
      </c>
      <c r="F14" s="154">
        <f t="shared" si="1"/>
        <v>64.599999999999994</v>
      </c>
      <c r="G14" s="154">
        <v>20</v>
      </c>
      <c r="H14" s="154">
        <v>25</v>
      </c>
      <c r="I14" s="154">
        <v>15</v>
      </c>
      <c r="J14" s="154">
        <f>Логистика!B10+(Логистика!B10*0.15)</f>
        <v>995.9</v>
      </c>
      <c r="K14" s="1">
        <f t="shared" si="2"/>
        <v>82.741354408419255</v>
      </c>
    </row>
    <row r="15" spans="1:11">
      <c r="A15" s="1" t="s">
        <v>33</v>
      </c>
      <c r="B15" s="232">
        <f>Калькуляция!E15</f>
        <v>6103.631820071294</v>
      </c>
      <c r="C15" s="1">
        <v>24</v>
      </c>
      <c r="D15" s="152">
        <v>0.39999999999999997</v>
      </c>
      <c r="E15" s="154">
        <f t="shared" si="0"/>
        <v>2441.4527280285174</v>
      </c>
      <c r="F15" s="154">
        <f t="shared" si="1"/>
        <v>45.599999999999994</v>
      </c>
      <c r="G15" s="154">
        <v>20</v>
      </c>
      <c r="H15" s="154">
        <v>25</v>
      </c>
      <c r="I15" s="154">
        <v>15</v>
      </c>
      <c r="J15" s="154">
        <f>Логистика!B8+(Логистика!B8*0.15)</f>
        <v>727.95</v>
      </c>
      <c r="K15" s="1">
        <f t="shared" si="2"/>
        <v>61.036318200712941</v>
      </c>
    </row>
    <row r="16" spans="1:11">
      <c r="A16" s="1" t="s">
        <v>34</v>
      </c>
      <c r="B16" s="232">
        <f>Калькуляция!E16</f>
        <v>7112.7525194069231</v>
      </c>
      <c r="C16" s="1">
        <v>24</v>
      </c>
      <c r="D16" s="152">
        <v>0.39999999999999997</v>
      </c>
      <c r="E16" s="154">
        <f t="shared" si="0"/>
        <v>2845.1010077627689</v>
      </c>
      <c r="F16" s="154">
        <f t="shared" si="1"/>
        <v>45.599999999999994</v>
      </c>
      <c r="G16" s="154">
        <v>20</v>
      </c>
      <c r="H16" s="154">
        <v>25</v>
      </c>
      <c r="I16" s="154">
        <v>15</v>
      </c>
      <c r="J16" s="154">
        <f>Логистика!B9+(Логистика!B9*0.15)</f>
        <v>727.95</v>
      </c>
      <c r="K16" s="1">
        <f t="shared" si="2"/>
        <v>71.127525194069236</v>
      </c>
    </row>
    <row r="17" spans="1:11">
      <c r="A17" s="1" t="s">
        <v>30</v>
      </c>
      <c r="B17" s="232">
        <f>Калькуляция!E17</f>
        <v>7465.496777467115</v>
      </c>
      <c r="C17" s="1">
        <v>37</v>
      </c>
      <c r="D17" s="152">
        <v>0.39999999999999997</v>
      </c>
      <c r="E17" s="154">
        <f t="shared" si="0"/>
        <v>2986.1987109868455</v>
      </c>
      <c r="F17" s="154">
        <f t="shared" si="1"/>
        <v>70.3</v>
      </c>
      <c r="G17" s="154">
        <v>20</v>
      </c>
      <c r="H17" s="154">
        <v>25</v>
      </c>
      <c r="I17" s="154">
        <v>15</v>
      </c>
      <c r="J17" s="154">
        <f>Логистика!B4+(Логистика!B4*0.15)</f>
        <v>1077.55</v>
      </c>
      <c r="K17" s="1">
        <f t="shared" si="2"/>
        <v>74.65496777467115</v>
      </c>
    </row>
    <row r="18" spans="1:11">
      <c r="A18" s="1" t="s">
        <v>29</v>
      </c>
      <c r="B18" s="232">
        <f>Калькуляция!E18</f>
        <v>8767.4741052993741</v>
      </c>
      <c r="C18" s="1">
        <v>37</v>
      </c>
      <c r="D18" s="152">
        <v>0.39999999999999997</v>
      </c>
      <c r="E18" s="154">
        <f t="shared" si="0"/>
        <v>3506.9896421197495</v>
      </c>
      <c r="F18" s="154">
        <f t="shared" si="1"/>
        <v>70.3</v>
      </c>
      <c r="G18" s="154">
        <v>20</v>
      </c>
      <c r="H18" s="154">
        <v>25</v>
      </c>
      <c r="I18" s="154">
        <v>15</v>
      </c>
      <c r="J18" s="154">
        <f>Логистика!B5+(Логистика!B5*0.15)</f>
        <v>1077.55</v>
      </c>
      <c r="K18" s="1">
        <f t="shared" si="2"/>
        <v>87.674741052993738</v>
      </c>
    </row>
    <row r="19" spans="1:11">
      <c r="A19" s="1" t="s">
        <v>31</v>
      </c>
      <c r="B19" s="232">
        <f>Калькуляция!E19</f>
        <v>9500.6294280814054</v>
      </c>
      <c r="C19" s="1">
        <v>59</v>
      </c>
      <c r="D19" s="152">
        <v>0.39999999999999997</v>
      </c>
      <c r="E19" s="154">
        <f t="shared" si="0"/>
        <v>3800.2517712325621</v>
      </c>
      <c r="F19" s="154">
        <f t="shared" si="1"/>
        <v>112.1</v>
      </c>
      <c r="G19" s="154">
        <v>20</v>
      </c>
      <c r="H19" s="154">
        <v>25</v>
      </c>
      <c r="I19" s="154">
        <v>15</v>
      </c>
      <c r="J19" s="154">
        <f>Логистика!B6+(Логистика!B6*0.15)</f>
        <v>1668.65</v>
      </c>
      <c r="K19" s="1">
        <f t="shared" si="2"/>
        <v>95.00629428081406</v>
      </c>
    </row>
    <row r="20" spans="1:11">
      <c r="A20" s="1" t="s">
        <v>32</v>
      </c>
      <c r="B20" s="232">
        <f>Калькуляция!E20</f>
        <v>10543.567475617494</v>
      </c>
      <c r="C20" s="1">
        <v>59</v>
      </c>
      <c r="D20" s="152">
        <v>0.39999999999999997</v>
      </c>
      <c r="E20" s="154">
        <f t="shared" si="0"/>
        <v>4217.4269902469969</v>
      </c>
      <c r="F20" s="154">
        <f t="shared" si="1"/>
        <v>112.1</v>
      </c>
      <c r="G20" s="154">
        <v>20</v>
      </c>
      <c r="H20" s="154">
        <v>25</v>
      </c>
      <c r="I20" s="154">
        <v>15</v>
      </c>
      <c r="J20" s="154">
        <f>Логистика!B7+(Логистика!B7*0.15)</f>
        <v>1668.65</v>
      </c>
      <c r="K20" s="1">
        <f t="shared" si="2"/>
        <v>105.43567475617495</v>
      </c>
    </row>
    <row r="21" spans="1:11">
      <c r="A21" s="1" t="s">
        <v>1266</v>
      </c>
      <c r="B21" s="232">
        <f>Калькуляция!E21</f>
        <v>7814.1939059874694</v>
      </c>
      <c r="C21" s="1">
        <v>44</v>
      </c>
      <c r="D21" s="152">
        <v>0.33999999999999997</v>
      </c>
      <c r="E21" s="154">
        <f t="shared" si="0"/>
        <v>2656.8259280357393</v>
      </c>
      <c r="F21" s="154">
        <f t="shared" si="1"/>
        <v>83.6</v>
      </c>
      <c r="G21" s="154">
        <v>20</v>
      </c>
      <c r="H21" s="154">
        <v>25</v>
      </c>
      <c r="I21" s="154">
        <v>15</v>
      </c>
      <c r="J21" s="154">
        <f>Логистика!B27+(Логистика!B27*0.15)</f>
        <v>1265</v>
      </c>
      <c r="K21" s="1">
        <f t="shared" si="2"/>
        <v>78.141939059874701</v>
      </c>
    </row>
    <row r="22" spans="1:11">
      <c r="A22" s="1" t="s">
        <v>1267</v>
      </c>
      <c r="B22" s="232">
        <f>Калькуляция!E22</f>
        <v>9152.8146369900751</v>
      </c>
      <c r="C22" s="1">
        <v>65</v>
      </c>
      <c r="D22" s="152">
        <v>0.33999999999999997</v>
      </c>
      <c r="E22" s="154">
        <f t="shared" si="0"/>
        <v>3111.956976576625</v>
      </c>
      <c r="F22" s="154">
        <f t="shared" si="1"/>
        <v>123.5</v>
      </c>
      <c r="G22" s="154">
        <v>20</v>
      </c>
      <c r="H22" s="154">
        <v>25</v>
      </c>
      <c r="I22" s="154">
        <v>15</v>
      </c>
      <c r="J22" s="154">
        <f>Логистика!B17+(Логистика!B17*0.15)</f>
        <v>1830.8</v>
      </c>
      <c r="K22" s="1">
        <f t="shared" si="2"/>
        <v>91.528146369900753</v>
      </c>
    </row>
    <row r="23" spans="1:11">
      <c r="A23" s="1" t="s">
        <v>1265</v>
      </c>
      <c r="B23" s="232">
        <f>Калькуляция!E23</f>
        <v>9768.5110279005821</v>
      </c>
      <c r="C23" s="1">
        <v>55</v>
      </c>
      <c r="D23" s="152">
        <v>0.33999999999999997</v>
      </c>
      <c r="E23" s="154">
        <f t="shared" si="0"/>
        <v>3321.2937494861976</v>
      </c>
      <c r="F23" s="154">
        <f t="shared" si="1"/>
        <v>104.5</v>
      </c>
      <c r="G23" s="154">
        <v>20</v>
      </c>
      <c r="H23" s="154">
        <v>25</v>
      </c>
      <c r="I23" s="154">
        <v>15</v>
      </c>
      <c r="J23" s="154">
        <f>Логистика!B26+(Логистика!B26*0.15)</f>
        <v>1561.7</v>
      </c>
      <c r="K23" s="1">
        <f t="shared" si="2"/>
        <v>97.685110279005826</v>
      </c>
    </row>
    <row r="24" spans="1:11">
      <c r="A24" s="1" t="s">
        <v>41</v>
      </c>
      <c r="B24" s="232">
        <f>Калькуляция!E24</f>
        <v>9149.4401895775409</v>
      </c>
      <c r="C24" s="1">
        <v>64</v>
      </c>
      <c r="D24" s="152">
        <v>0.39999999999999997</v>
      </c>
      <c r="E24" s="154">
        <f t="shared" si="0"/>
        <v>3659.776075831016</v>
      </c>
      <c r="F24" s="154">
        <f t="shared" si="1"/>
        <v>121.6</v>
      </c>
      <c r="G24" s="154">
        <v>20</v>
      </c>
      <c r="H24" s="154">
        <v>25</v>
      </c>
      <c r="I24" s="154">
        <v>15</v>
      </c>
      <c r="J24" s="154">
        <f>Логистика!B16+(Логистика!B16*0.15)</f>
        <v>1803.2</v>
      </c>
      <c r="K24" s="1">
        <f t="shared" si="2"/>
        <v>91.494401895775411</v>
      </c>
    </row>
    <row r="25" spans="1:11">
      <c r="A25" s="1" t="s">
        <v>40</v>
      </c>
      <c r="B25" s="232">
        <f>Калькуляция!E25</f>
        <v>9608.4492328580309</v>
      </c>
      <c r="C25" s="1">
        <v>62</v>
      </c>
      <c r="D25" s="152">
        <v>0.39999999999999997</v>
      </c>
      <c r="E25" s="154">
        <f t="shared" si="0"/>
        <v>3843.3796931432121</v>
      </c>
      <c r="F25" s="154">
        <f t="shared" si="1"/>
        <v>117.8</v>
      </c>
      <c r="G25" s="154">
        <v>20</v>
      </c>
      <c r="H25" s="154">
        <v>25</v>
      </c>
      <c r="I25" s="154">
        <v>15</v>
      </c>
      <c r="J25" s="154">
        <f>Логистика!B15+(Логистика!B15*0.15)</f>
        <v>1749.15</v>
      </c>
      <c r="K25" s="1">
        <f t="shared" si="2"/>
        <v>96.084492328580311</v>
      </c>
    </row>
    <row r="26" spans="1:11">
      <c r="A26" s="1" t="s">
        <v>119</v>
      </c>
      <c r="B26" s="232">
        <f>Калькуляция!E26</f>
        <v>31197.98671764629</v>
      </c>
      <c r="C26" s="1">
        <v>348</v>
      </c>
      <c r="D26" s="151">
        <v>0.39999999999999997</v>
      </c>
      <c r="E26" s="154">
        <f t="shared" si="0"/>
        <v>12479.194687058514</v>
      </c>
      <c r="F26" s="154">
        <f t="shared" si="1"/>
        <v>661.19999999999993</v>
      </c>
      <c r="G26" s="154">
        <v>20</v>
      </c>
      <c r="H26" s="154">
        <v>25</v>
      </c>
      <c r="I26" s="154">
        <v>15</v>
      </c>
      <c r="J26" s="154">
        <f>Логистика!B2+(Логистика!B2*0.15)</f>
        <v>6281.3</v>
      </c>
      <c r="K26" s="1">
        <f t="shared" si="2"/>
        <v>311.9798671764629</v>
      </c>
    </row>
    <row r="27" spans="1:11">
      <c r="A27" s="22" t="s">
        <v>121</v>
      </c>
      <c r="B27" s="232">
        <f>Калькуляция!E27</f>
        <v>33611.280233777616</v>
      </c>
      <c r="C27" s="1">
        <v>348</v>
      </c>
      <c r="D27" s="152">
        <v>0.39999999999999997</v>
      </c>
      <c r="E27" s="154">
        <f t="shared" si="0"/>
        <v>13444.512093511044</v>
      </c>
      <c r="F27" s="154">
        <f t="shared" si="1"/>
        <v>661.19999999999993</v>
      </c>
      <c r="G27" s="154">
        <v>20</v>
      </c>
      <c r="H27" s="154">
        <v>25</v>
      </c>
      <c r="I27" s="154">
        <v>15</v>
      </c>
      <c r="J27" s="154">
        <f>Логистика!B3+(Логистика!B3*0.15)</f>
        <v>6281.3</v>
      </c>
      <c r="K27" s="1">
        <f t="shared" si="2"/>
        <v>336.11280233777615</v>
      </c>
    </row>
    <row r="28" spans="1:11">
      <c r="A28" s="21" t="s">
        <v>1310</v>
      </c>
      <c r="B28" s="232">
        <f>Калькуляция!E28</f>
        <v>7080.6950606123191</v>
      </c>
      <c r="C28" s="1">
        <v>44</v>
      </c>
      <c r="D28" s="152">
        <v>0.39999999999999997</v>
      </c>
      <c r="E28" s="154">
        <f t="shared" si="0"/>
        <v>2832.2780242449276</v>
      </c>
      <c r="F28" s="154">
        <f t="shared" si="1"/>
        <v>83.6</v>
      </c>
      <c r="G28" s="154">
        <v>20</v>
      </c>
      <c r="H28" s="154">
        <v>25</v>
      </c>
      <c r="I28" s="154">
        <v>15</v>
      </c>
      <c r="J28" s="154">
        <f>Логистика!B4+(Логистика!B4*0.15)</f>
        <v>1077.55</v>
      </c>
      <c r="K28" s="1">
        <f t="shared" si="2"/>
        <v>70.806950606123195</v>
      </c>
    </row>
    <row r="29" spans="1:11">
      <c r="A29" s="21" t="s">
        <v>1311</v>
      </c>
      <c r="B29" s="232">
        <f>Калькуляция!E29</f>
        <v>8426.4492426581546</v>
      </c>
      <c r="C29" s="1">
        <v>65</v>
      </c>
      <c r="D29" s="152">
        <v>0.39999999999999997</v>
      </c>
      <c r="E29" s="154">
        <f t="shared" si="0"/>
        <v>3370.5796970632614</v>
      </c>
      <c r="F29" s="154">
        <f t="shared" si="1"/>
        <v>123.5</v>
      </c>
      <c r="G29" s="154">
        <v>20</v>
      </c>
      <c r="H29" s="154">
        <v>25</v>
      </c>
      <c r="I29" s="154">
        <v>15</v>
      </c>
      <c r="J29" s="154">
        <f>Логистика!B5+(Логистика!B5*0.15)</f>
        <v>1077.55</v>
      </c>
      <c r="K29" s="1">
        <f t="shared" si="2"/>
        <v>84.264492426581555</v>
      </c>
    </row>
    <row r="30" spans="1:11">
      <c r="A30" s="21" t="s">
        <v>1312</v>
      </c>
      <c r="B30" s="232">
        <f>Калькуляция!E30</f>
        <v>8920.6157376614319</v>
      </c>
      <c r="C30" s="1">
        <v>55</v>
      </c>
      <c r="D30" s="152">
        <v>0.39999999999999997</v>
      </c>
      <c r="E30" s="154">
        <f t="shared" si="0"/>
        <v>3568.2462950645727</v>
      </c>
      <c r="F30" s="154">
        <f t="shared" si="1"/>
        <v>104.5</v>
      </c>
      <c r="G30" s="154">
        <v>20</v>
      </c>
      <c r="H30" s="154">
        <v>25</v>
      </c>
      <c r="I30" s="154">
        <v>15</v>
      </c>
      <c r="J30" s="154">
        <f>Логистика!B6+(Логистика!B6*0.15)</f>
        <v>1668.65</v>
      </c>
      <c r="K30" s="1">
        <f t="shared" si="2"/>
        <v>89.206157376614314</v>
      </c>
    </row>
    <row r="31" spans="1:11">
      <c r="A31" s="21" t="s">
        <v>1314</v>
      </c>
      <c r="B31" s="232">
        <f>Калькуляция!E31</f>
        <v>42907.58182260883</v>
      </c>
      <c r="C31" s="234">
        <v>348</v>
      </c>
      <c r="D31" s="152">
        <v>0.45</v>
      </c>
      <c r="E31" s="154">
        <f t="shared" si="0"/>
        <v>19308.411820173973</v>
      </c>
      <c r="F31" s="235">
        <f t="shared" si="1"/>
        <v>661.19999999999993</v>
      </c>
      <c r="G31" s="154">
        <v>20</v>
      </c>
      <c r="H31" s="154">
        <v>25</v>
      </c>
      <c r="I31" s="154">
        <v>15</v>
      </c>
      <c r="J31">
        <f>SUM(Логистика!B28:C28)</f>
        <v>6281.3</v>
      </c>
      <c r="K31" s="1">
        <f t="shared" si="2"/>
        <v>429.0758182260883</v>
      </c>
    </row>
    <row r="32" spans="1:11">
      <c r="A32" s="21" t="s">
        <v>1315</v>
      </c>
      <c r="B32" s="232">
        <f>Калькуляция!E32</f>
        <v>18800.428438638686</v>
      </c>
      <c r="C32" s="234">
        <v>65</v>
      </c>
      <c r="D32" s="152">
        <v>0.45</v>
      </c>
      <c r="E32" s="154">
        <f t="shared" si="0"/>
        <v>8460.1927973874099</v>
      </c>
      <c r="F32" s="235">
        <f t="shared" si="1"/>
        <v>123.5</v>
      </c>
      <c r="G32" s="154">
        <v>20</v>
      </c>
      <c r="H32" s="154">
        <v>25</v>
      </c>
      <c r="I32" s="154">
        <v>15</v>
      </c>
      <c r="J32">
        <f>SUM(Логистика!B29:C29)</f>
        <v>1830.8</v>
      </c>
      <c r="K32" s="1">
        <f t="shared" si="2"/>
        <v>188.00428438638687</v>
      </c>
    </row>
    <row r="33" spans="1:11">
      <c r="A33" s="21" t="s">
        <v>1316</v>
      </c>
      <c r="B33" s="232">
        <f>Калькуляция!E33</f>
        <v>12341.181837157959</v>
      </c>
      <c r="C33" s="234">
        <v>42</v>
      </c>
      <c r="D33" s="152">
        <v>0.45</v>
      </c>
      <c r="E33" s="154">
        <f t="shared" si="0"/>
        <v>5553.5318267210814</v>
      </c>
      <c r="F33" s="235">
        <f t="shared" si="1"/>
        <v>79.8</v>
      </c>
      <c r="G33" s="154">
        <v>20</v>
      </c>
      <c r="H33" s="154">
        <v>25</v>
      </c>
      <c r="I33" s="154">
        <v>15</v>
      </c>
      <c r="J33">
        <f>SUM(Логистика!B30:C30)</f>
        <v>1212.0999999999999</v>
      </c>
      <c r="K33" s="1">
        <f t="shared" si="2"/>
        <v>123.4118183715796</v>
      </c>
    </row>
    <row r="34" spans="1:11">
      <c r="A34" s="21" t="s">
        <v>1317</v>
      </c>
      <c r="B34" s="232">
        <f>Калькуляция!E34</f>
        <v>12087.791320511387</v>
      </c>
      <c r="C34" s="234">
        <v>37</v>
      </c>
      <c r="D34" s="152">
        <v>0.45</v>
      </c>
      <c r="E34" s="154">
        <f t="shared" si="0"/>
        <v>5439.5060942301243</v>
      </c>
      <c r="F34" s="235">
        <f t="shared" si="1"/>
        <v>70.3</v>
      </c>
      <c r="G34" s="154">
        <v>20</v>
      </c>
      <c r="H34" s="154">
        <v>25</v>
      </c>
      <c r="I34" s="154">
        <v>15</v>
      </c>
      <c r="J34">
        <f>SUM(Логистика!B31:C31)</f>
        <v>1077.55</v>
      </c>
      <c r="K34" s="1">
        <f t="shared" si="2"/>
        <v>120.87791320511387</v>
      </c>
    </row>
    <row r="35" spans="1:11">
      <c r="A35" s="21" t="s">
        <v>1318</v>
      </c>
      <c r="B35" s="232">
        <f>Калькуляция!E35</f>
        <v>22478.05129937247</v>
      </c>
      <c r="C35" s="234">
        <v>88</v>
      </c>
      <c r="D35" s="152">
        <v>0.45</v>
      </c>
      <c r="E35" s="154">
        <f t="shared" si="0"/>
        <v>10115.123084717612</v>
      </c>
      <c r="F35" s="235">
        <f t="shared" si="1"/>
        <v>167.2</v>
      </c>
      <c r="G35" s="154">
        <v>20</v>
      </c>
      <c r="H35" s="154">
        <v>25</v>
      </c>
      <c r="I35" s="154">
        <v>15</v>
      </c>
      <c r="J35">
        <f>SUM(Логистика!B32:C32)</f>
        <v>2448.35</v>
      </c>
      <c r="K35" s="1">
        <f t="shared" si="2"/>
        <v>224.7805129937247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7"/>
  <sheetViews>
    <sheetView workbookViewId="0">
      <selection activeCell="C14" sqref="C14"/>
    </sheetView>
  </sheetViews>
  <sheetFormatPr baseColWidth="10" defaultColWidth="11" defaultRowHeight="16"/>
  <cols>
    <col min="1" max="1" width="15.1640625" bestFit="1" customWidth="1"/>
    <col min="3" max="3" width="17.5" bestFit="1" customWidth="1"/>
  </cols>
  <sheetData>
    <row r="1" spans="1:3">
      <c r="A1" s="1" t="s">
        <v>0</v>
      </c>
      <c r="B1" s="1" t="s">
        <v>1262</v>
      </c>
      <c r="C1" s="1" t="s">
        <v>1263</v>
      </c>
    </row>
    <row r="2" spans="1:3">
      <c r="A2" s="1" t="s">
        <v>27</v>
      </c>
      <c r="B2" s="1">
        <v>5462</v>
      </c>
      <c r="C2" s="1">
        <f>0.15*B2</f>
        <v>819.3</v>
      </c>
    </row>
    <row r="3" spans="1:3">
      <c r="A3" s="1" t="s">
        <v>28</v>
      </c>
      <c r="B3" s="1">
        <v>5462</v>
      </c>
      <c r="C3" s="1">
        <f t="shared" ref="C3:C32" si="0">0.15*B3</f>
        <v>819.3</v>
      </c>
    </row>
    <row r="4" spans="1:3">
      <c r="A4" s="1" t="s">
        <v>30</v>
      </c>
      <c r="B4" s="1">
        <v>937</v>
      </c>
      <c r="C4" s="1">
        <f t="shared" si="0"/>
        <v>140.54999999999998</v>
      </c>
    </row>
    <row r="5" spans="1:3">
      <c r="A5" s="1" t="s">
        <v>29</v>
      </c>
      <c r="B5" s="1">
        <v>937</v>
      </c>
      <c r="C5" s="1">
        <f t="shared" si="0"/>
        <v>140.54999999999998</v>
      </c>
    </row>
    <row r="6" spans="1:3">
      <c r="A6" s="1" t="s">
        <v>31</v>
      </c>
      <c r="B6" s="1">
        <v>1451</v>
      </c>
      <c r="C6" s="1">
        <f t="shared" si="0"/>
        <v>217.65</v>
      </c>
    </row>
    <row r="7" spans="1:3">
      <c r="A7" s="1" t="s">
        <v>32</v>
      </c>
      <c r="B7" s="1">
        <v>1451</v>
      </c>
      <c r="C7" s="1">
        <f t="shared" si="0"/>
        <v>217.65</v>
      </c>
    </row>
    <row r="8" spans="1:3">
      <c r="A8" s="1" t="s">
        <v>33</v>
      </c>
      <c r="B8" s="1">
        <v>633</v>
      </c>
      <c r="C8" s="1">
        <f t="shared" si="0"/>
        <v>94.95</v>
      </c>
    </row>
    <row r="9" spans="1:3">
      <c r="A9" s="1" t="s">
        <v>34</v>
      </c>
      <c r="B9" s="1">
        <v>633</v>
      </c>
      <c r="C9" s="1">
        <f t="shared" si="0"/>
        <v>94.95</v>
      </c>
    </row>
    <row r="10" spans="1:3">
      <c r="A10" s="1" t="s">
        <v>35</v>
      </c>
      <c r="B10" s="1">
        <v>866</v>
      </c>
      <c r="C10" s="1">
        <f t="shared" si="0"/>
        <v>129.9</v>
      </c>
    </row>
    <row r="11" spans="1:3">
      <c r="A11" s="1" t="s">
        <v>36</v>
      </c>
      <c r="B11" s="1">
        <v>890</v>
      </c>
      <c r="C11" s="1">
        <f t="shared" si="0"/>
        <v>133.5</v>
      </c>
    </row>
    <row r="12" spans="1:3">
      <c r="A12" s="1" t="s">
        <v>37</v>
      </c>
      <c r="B12" s="1">
        <v>399</v>
      </c>
      <c r="C12" s="1">
        <f t="shared" si="0"/>
        <v>59.849999999999994</v>
      </c>
    </row>
    <row r="13" spans="1:3">
      <c r="A13" s="1" t="s">
        <v>38</v>
      </c>
      <c r="B13" s="1">
        <v>399</v>
      </c>
      <c r="C13" s="1">
        <f t="shared" si="0"/>
        <v>59.849999999999994</v>
      </c>
    </row>
    <row r="14" spans="1:3">
      <c r="A14" s="1" t="s">
        <v>39</v>
      </c>
      <c r="B14" s="1">
        <v>609</v>
      </c>
      <c r="C14" s="1">
        <f t="shared" si="0"/>
        <v>91.35</v>
      </c>
    </row>
    <row r="15" spans="1:3">
      <c r="A15" s="1" t="s">
        <v>40</v>
      </c>
      <c r="B15" s="1">
        <v>1521</v>
      </c>
      <c r="C15" s="1">
        <f t="shared" si="0"/>
        <v>228.15</v>
      </c>
    </row>
    <row r="16" spans="1:3">
      <c r="A16" s="1" t="s">
        <v>41</v>
      </c>
      <c r="B16" s="1">
        <v>1568</v>
      </c>
      <c r="C16" s="1">
        <f t="shared" si="0"/>
        <v>235.2</v>
      </c>
    </row>
    <row r="17" spans="1:3">
      <c r="A17" s="1" t="s">
        <v>2</v>
      </c>
      <c r="B17" s="1">
        <v>1592</v>
      </c>
      <c r="C17" s="1">
        <f t="shared" si="0"/>
        <v>238.79999999999998</v>
      </c>
    </row>
    <row r="18" spans="1:3">
      <c r="A18" s="1" t="s">
        <v>42</v>
      </c>
      <c r="B18" s="1">
        <v>141</v>
      </c>
      <c r="C18" s="1">
        <f t="shared" si="0"/>
        <v>21.15</v>
      </c>
    </row>
    <row r="19" spans="1:3">
      <c r="A19" s="1" t="s">
        <v>43</v>
      </c>
      <c r="B19" s="1">
        <v>1755</v>
      </c>
      <c r="C19" s="1">
        <f t="shared" si="0"/>
        <v>263.25</v>
      </c>
    </row>
    <row r="20" spans="1:3">
      <c r="A20" s="1" t="s">
        <v>44</v>
      </c>
      <c r="B20" s="1">
        <v>1241</v>
      </c>
      <c r="C20" s="1">
        <f t="shared" si="0"/>
        <v>186.15</v>
      </c>
    </row>
    <row r="21" spans="1:3">
      <c r="A21" s="1" t="s">
        <v>45</v>
      </c>
      <c r="B21" s="1">
        <v>1124</v>
      </c>
      <c r="C21" s="1">
        <f t="shared" si="0"/>
        <v>168.6</v>
      </c>
    </row>
    <row r="22" spans="1:3">
      <c r="A22" s="1" t="s">
        <v>46</v>
      </c>
      <c r="B22" s="1">
        <v>960</v>
      </c>
      <c r="C22" s="1">
        <f t="shared" si="0"/>
        <v>144</v>
      </c>
    </row>
    <row r="23" spans="1:3">
      <c r="A23" s="1" t="s">
        <v>47</v>
      </c>
      <c r="B23" s="1">
        <v>375</v>
      </c>
      <c r="C23" s="1">
        <f t="shared" si="0"/>
        <v>56.25</v>
      </c>
    </row>
    <row r="24" spans="1:3">
      <c r="A24" s="1" t="s">
        <v>48</v>
      </c>
      <c r="B24" s="1">
        <v>399</v>
      </c>
      <c r="C24" s="1">
        <f t="shared" si="0"/>
        <v>59.849999999999994</v>
      </c>
    </row>
    <row r="25" spans="1:3">
      <c r="A25" s="1" t="s">
        <v>49</v>
      </c>
      <c r="B25" s="1">
        <v>375</v>
      </c>
      <c r="C25" s="1">
        <f t="shared" si="0"/>
        <v>56.25</v>
      </c>
    </row>
    <row r="26" spans="1:3">
      <c r="A26" s="1" t="s">
        <v>3</v>
      </c>
      <c r="B26" s="1">
        <v>1358</v>
      </c>
      <c r="C26" s="1">
        <f t="shared" si="0"/>
        <v>203.7</v>
      </c>
    </row>
    <row r="27" spans="1:3">
      <c r="A27" s="1" t="s">
        <v>50</v>
      </c>
      <c r="B27" s="1">
        <v>1100</v>
      </c>
      <c r="C27" s="1">
        <f t="shared" si="0"/>
        <v>165</v>
      </c>
    </row>
    <row r="28" spans="1:3">
      <c r="A28" s="21" t="s">
        <v>1314</v>
      </c>
      <c r="B28" s="1">
        <v>5462</v>
      </c>
      <c r="C28" s="1">
        <f t="shared" si="0"/>
        <v>819.3</v>
      </c>
    </row>
    <row r="29" spans="1:3">
      <c r="A29" s="21" t="s">
        <v>1315</v>
      </c>
      <c r="B29" s="1">
        <f>B17</f>
        <v>1592</v>
      </c>
      <c r="C29" s="1">
        <f t="shared" si="0"/>
        <v>238.79999999999998</v>
      </c>
    </row>
    <row r="30" spans="1:3">
      <c r="A30" s="21" t="s">
        <v>1316</v>
      </c>
      <c r="B30" s="1">
        <v>1054</v>
      </c>
      <c r="C30" s="1">
        <f t="shared" si="0"/>
        <v>158.1</v>
      </c>
    </row>
    <row r="31" spans="1:3">
      <c r="A31" s="21" t="s">
        <v>1317</v>
      </c>
      <c r="B31" s="1">
        <v>937</v>
      </c>
      <c r="C31" s="1">
        <f t="shared" si="0"/>
        <v>140.54999999999998</v>
      </c>
    </row>
    <row r="32" spans="1:3">
      <c r="A32" s="21" t="s">
        <v>1318</v>
      </c>
      <c r="B32" s="1">
        <v>2129</v>
      </c>
      <c r="C32" s="1">
        <f t="shared" si="0"/>
        <v>319.34999999999997</v>
      </c>
    </row>
    <row r="33" spans="1:16" ht="84">
      <c r="A33" s="9" t="s">
        <v>51</v>
      </c>
      <c r="B33" s="9" t="s">
        <v>52</v>
      </c>
      <c r="D33" s="9" t="s">
        <v>61</v>
      </c>
      <c r="E33" s="9" t="s">
        <v>62</v>
      </c>
      <c r="G33" s="11" t="s">
        <v>67</v>
      </c>
      <c r="H33" s="14"/>
      <c r="I33" s="13"/>
      <c r="K33" s="15" t="s">
        <v>71</v>
      </c>
      <c r="M33" s="15" t="s">
        <v>74</v>
      </c>
      <c r="O33" s="185"/>
      <c r="P33" s="186"/>
    </row>
    <row r="34" spans="1:16" ht="201">
      <c r="A34" s="10" t="s">
        <v>53</v>
      </c>
      <c r="B34" s="10" t="s">
        <v>54</v>
      </c>
      <c r="D34" s="10" t="s">
        <v>63</v>
      </c>
      <c r="E34" s="10" t="s">
        <v>64</v>
      </c>
      <c r="G34" s="12" t="s">
        <v>68</v>
      </c>
      <c r="H34" s="14"/>
      <c r="I34" s="8"/>
      <c r="J34" s="16"/>
      <c r="K34" s="17" t="s">
        <v>72</v>
      </c>
      <c r="M34" s="8" t="s">
        <v>1261</v>
      </c>
    </row>
    <row r="35" spans="1:16" ht="40">
      <c r="A35" s="10" t="s">
        <v>55</v>
      </c>
      <c r="B35" s="10" t="s">
        <v>56</v>
      </c>
      <c r="D35" s="10" t="s">
        <v>65</v>
      </c>
      <c r="E35" s="10" t="s">
        <v>66</v>
      </c>
    </row>
    <row r="36" spans="1:16" ht="40">
      <c r="A36" s="10" t="s">
        <v>57</v>
      </c>
      <c r="B36" s="10" t="s">
        <v>58</v>
      </c>
    </row>
    <row r="37" spans="1:16" ht="40">
      <c r="A37" s="10" t="s">
        <v>59</v>
      </c>
      <c r="B37" s="10" t="s">
        <v>60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35"/>
  <sheetViews>
    <sheetView workbookViewId="0">
      <selection activeCell="L12" sqref="L12"/>
    </sheetView>
  </sheetViews>
  <sheetFormatPr baseColWidth="10" defaultColWidth="11" defaultRowHeight="16"/>
  <cols>
    <col min="12" max="12" width="14" bestFit="1" customWidth="1"/>
  </cols>
  <sheetData>
    <row r="1" spans="1:23" ht="68">
      <c r="A1" s="4" t="s">
        <v>76</v>
      </c>
      <c r="B1" s="28" t="s">
        <v>6</v>
      </c>
      <c r="C1" s="28" t="s">
        <v>7</v>
      </c>
      <c r="D1" s="29" t="s">
        <v>8</v>
      </c>
      <c r="E1" s="29" t="s">
        <v>9</v>
      </c>
      <c r="F1" s="29" t="s">
        <v>10</v>
      </c>
      <c r="G1" s="29" t="s">
        <v>11</v>
      </c>
      <c r="H1" s="29" t="s">
        <v>5</v>
      </c>
      <c r="I1" s="29" t="s">
        <v>12</v>
      </c>
      <c r="J1" s="28" t="s">
        <v>13</v>
      </c>
      <c r="K1" s="28" t="s">
        <v>14</v>
      </c>
      <c r="L1" s="24" t="s">
        <v>15</v>
      </c>
      <c r="M1" s="24" t="s">
        <v>16</v>
      </c>
      <c r="N1" s="29" t="s">
        <v>17</v>
      </c>
      <c r="O1" s="29" t="s">
        <v>18</v>
      </c>
      <c r="P1" s="29" t="s">
        <v>19</v>
      </c>
      <c r="Q1" s="29" t="s">
        <v>20</v>
      </c>
      <c r="R1" s="28" t="s">
        <v>21</v>
      </c>
      <c r="S1" s="28" t="s">
        <v>22</v>
      </c>
      <c r="T1" s="29" t="s">
        <v>23</v>
      </c>
      <c r="U1" s="29" t="s">
        <v>24</v>
      </c>
      <c r="V1" s="29" t="s">
        <v>25</v>
      </c>
      <c r="W1" s="29" t="s">
        <v>26</v>
      </c>
    </row>
    <row r="2" spans="1:23">
      <c r="A2" s="2" t="s">
        <v>77</v>
      </c>
      <c r="B2" s="3">
        <v>2.7</v>
      </c>
      <c r="C2" s="3">
        <v>1.3</v>
      </c>
      <c r="D2" s="3">
        <v>1.3</v>
      </c>
      <c r="E2" s="3">
        <v>1.3</v>
      </c>
      <c r="F2" s="3">
        <v>1</v>
      </c>
      <c r="G2" s="3">
        <v>1.4</v>
      </c>
      <c r="H2" s="3">
        <v>1.3</v>
      </c>
      <c r="I2" s="3">
        <v>1.4</v>
      </c>
      <c r="J2" s="3">
        <v>1.7</v>
      </c>
      <c r="K2" s="3">
        <v>1.7</v>
      </c>
      <c r="L2" s="3">
        <v>1.4</v>
      </c>
      <c r="M2" s="3">
        <v>1.4</v>
      </c>
      <c r="N2" s="3">
        <v>1.3</v>
      </c>
      <c r="O2" s="3">
        <v>1.1000000000000001</v>
      </c>
      <c r="P2" s="3">
        <v>1.4</v>
      </c>
      <c r="Q2" s="3">
        <v>1.4</v>
      </c>
      <c r="R2" s="3">
        <v>1.7</v>
      </c>
      <c r="S2" s="3">
        <v>1.7</v>
      </c>
      <c r="T2" s="3">
        <v>1.4</v>
      </c>
      <c r="U2" s="3">
        <v>1.4</v>
      </c>
      <c r="V2" s="3">
        <v>1.4</v>
      </c>
      <c r="W2" s="3">
        <v>1</v>
      </c>
    </row>
    <row r="3" spans="1:23">
      <c r="A3" s="2" t="s">
        <v>6</v>
      </c>
      <c r="B3" s="3">
        <v>1</v>
      </c>
      <c r="C3" s="3">
        <v>2.4</v>
      </c>
      <c r="D3" s="3">
        <v>2.7</v>
      </c>
      <c r="E3" s="3">
        <v>2.7</v>
      </c>
      <c r="F3" s="3">
        <v>2.7</v>
      </c>
      <c r="G3" s="3">
        <v>2.4</v>
      </c>
      <c r="H3" s="3">
        <v>2.4</v>
      </c>
      <c r="I3" s="3">
        <v>2.6</v>
      </c>
      <c r="J3" s="3">
        <v>1.7</v>
      </c>
      <c r="K3" s="3">
        <v>1.8</v>
      </c>
      <c r="L3" s="3">
        <v>2.8</v>
      </c>
      <c r="M3" s="3">
        <v>2.8</v>
      </c>
      <c r="N3" s="3">
        <v>2.6</v>
      </c>
      <c r="O3" s="3">
        <v>2.5</v>
      </c>
      <c r="P3" s="3">
        <v>2.8</v>
      </c>
      <c r="Q3" s="3">
        <v>2.4</v>
      </c>
      <c r="R3" s="3">
        <v>1.8</v>
      </c>
      <c r="S3" s="3">
        <v>1.8</v>
      </c>
      <c r="T3" s="3">
        <v>2.4</v>
      </c>
      <c r="U3" s="3">
        <v>2.4</v>
      </c>
      <c r="V3" s="3">
        <v>2.8</v>
      </c>
      <c r="W3" s="3">
        <v>2.7</v>
      </c>
    </row>
    <row r="4" spans="1:23">
      <c r="A4" s="2" t="s">
        <v>78</v>
      </c>
      <c r="B4" s="3">
        <v>1.8</v>
      </c>
      <c r="C4" s="3">
        <v>1.7</v>
      </c>
      <c r="D4" s="3">
        <v>1.9</v>
      </c>
      <c r="E4" s="3">
        <v>1.8</v>
      </c>
      <c r="F4" s="3">
        <v>1.7</v>
      </c>
      <c r="G4" s="3">
        <v>1.4</v>
      </c>
      <c r="H4" s="3">
        <v>1.7</v>
      </c>
      <c r="I4" s="3">
        <v>1.6</v>
      </c>
      <c r="J4" s="3">
        <v>1.1000000000000001</v>
      </c>
      <c r="K4" s="3">
        <v>1.1000000000000001</v>
      </c>
      <c r="L4" s="3">
        <v>2</v>
      </c>
      <c r="M4" s="3">
        <v>2</v>
      </c>
      <c r="N4" s="3">
        <v>1.7</v>
      </c>
      <c r="O4" s="3">
        <v>1.7</v>
      </c>
      <c r="P4" s="3">
        <v>1.9</v>
      </c>
      <c r="Q4" s="3">
        <v>1.4</v>
      </c>
      <c r="R4" s="3">
        <v>1</v>
      </c>
      <c r="S4" s="3">
        <v>1</v>
      </c>
      <c r="T4" s="3">
        <v>1.4</v>
      </c>
      <c r="U4" s="3">
        <v>1.4</v>
      </c>
      <c r="V4" s="3">
        <v>1.9</v>
      </c>
      <c r="W4" s="3">
        <v>1.7</v>
      </c>
    </row>
    <row r="5" spans="1:23">
      <c r="A5" s="2" t="s">
        <v>79</v>
      </c>
      <c r="B5" s="3">
        <v>1.8</v>
      </c>
      <c r="C5" s="3">
        <v>1.7</v>
      </c>
      <c r="D5" s="3">
        <v>1.9</v>
      </c>
      <c r="E5" s="3">
        <v>1.8</v>
      </c>
      <c r="F5" s="3">
        <v>1.7</v>
      </c>
      <c r="G5" s="3">
        <v>1.4</v>
      </c>
      <c r="H5" s="3">
        <v>1.7</v>
      </c>
      <c r="I5" s="3">
        <v>1.6</v>
      </c>
      <c r="J5" s="3">
        <v>1.1000000000000001</v>
      </c>
      <c r="K5" s="3">
        <v>1.1000000000000001</v>
      </c>
      <c r="L5" s="3">
        <v>2</v>
      </c>
      <c r="M5" s="3">
        <v>2</v>
      </c>
      <c r="N5" s="3">
        <v>1.7</v>
      </c>
      <c r="O5" s="3">
        <v>1.7</v>
      </c>
      <c r="P5" s="3">
        <v>1.9</v>
      </c>
      <c r="Q5" s="3">
        <v>1.4</v>
      </c>
      <c r="R5" s="3">
        <v>1</v>
      </c>
      <c r="S5" s="3">
        <v>1</v>
      </c>
      <c r="T5" s="3">
        <v>1.4</v>
      </c>
      <c r="U5" s="3">
        <v>1.4</v>
      </c>
      <c r="V5" s="3">
        <v>1.9</v>
      </c>
      <c r="W5" s="3">
        <v>1.7</v>
      </c>
    </row>
    <row r="6" spans="1:23">
      <c r="A6" s="2" t="s">
        <v>7</v>
      </c>
      <c r="B6" s="3">
        <v>2.4</v>
      </c>
      <c r="C6" s="3">
        <v>1</v>
      </c>
      <c r="D6" s="3">
        <v>1.1000000000000001</v>
      </c>
      <c r="E6" s="3">
        <v>1.6</v>
      </c>
      <c r="F6" s="3">
        <v>1.3</v>
      </c>
      <c r="G6" s="3">
        <v>1.8</v>
      </c>
      <c r="H6" s="3">
        <v>1.7</v>
      </c>
      <c r="I6" s="3">
        <v>1.7</v>
      </c>
      <c r="J6" s="3">
        <v>1.7</v>
      </c>
      <c r="K6" s="3">
        <v>1.6</v>
      </c>
      <c r="L6" s="3">
        <v>1.8</v>
      </c>
      <c r="M6" s="3">
        <v>1.8</v>
      </c>
      <c r="N6" s="3">
        <v>1.7</v>
      </c>
      <c r="O6" s="3">
        <v>1.4</v>
      </c>
      <c r="P6" s="3">
        <v>1.8</v>
      </c>
      <c r="Q6" s="3">
        <v>1.8</v>
      </c>
      <c r="R6" s="3">
        <v>1.7</v>
      </c>
      <c r="S6" s="3">
        <v>1.7</v>
      </c>
      <c r="T6" s="3">
        <v>1.8</v>
      </c>
      <c r="U6" s="3">
        <v>1.8</v>
      </c>
      <c r="V6" s="3">
        <v>1.8</v>
      </c>
      <c r="W6" s="3">
        <v>1.3</v>
      </c>
    </row>
    <row r="7" spans="1:23">
      <c r="A7" s="2" t="s">
        <v>8</v>
      </c>
      <c r="B7" s="3">
        <v>2.7</v>
      </c>
      <c r="C7" s="3">
        <v>1.1000000000000001</v>
      </c>
      <c r="D7" s="3">
        <v>1</v>
      </c>
      <c r="E7" s="3">
        <v>1.5</v>
      </c>
      <c r="F7" s="3">
        <v>1.3</v>
      </c>
      <c r="G7" s="3">
        <v>1.7</v>
      </c>
      <c r="H7" s="3">
        <v>1.5</v>
      </c>
      <c r="I7" s="3">
        <v>1.5</v>
      </c>
      <c r="J7" s="3">
        <v>1.9</v>
      </c>
      <c r="K7" s="3">
        <v>1.9</v>
      </c>
      <c r="L7" s="3">
        <v>1.6</v>
      </c>
      <c r="M7" s="3">
        <v>1.6</v>
      </c>
      <c r="N7" s="3">
        <v>1.5</v>
      </c>
      <c r="O7" s="3">
        <v>1.3</v>
      </c>
      <c r="P7" s="3">
        <v>1.5</v>
      </c>
      <c r="Q7" s="3">
        <v>1.7</v>
      </c>
      <c r="R7" s="3">
        <v>1.9</v>
      </c>
      <c r="S7" s="3">
        <v>1.9</v>
      </c>
      <c r="T7" s="3">
        <v>1.7</v>
      </c>
      <c r="U7" s="3">
        <v>1.7</v>
      </c>
      <c r="V7" s="3">
        <v>1.5</v>
      </c>
      <c r="W7" s="3">
        <v>1.3</v>
      </c>
    </row>
    <row r="8" spans="1:23">
      <c r="A8" s="2" t="s">
        <v>80</v>
      </c>
      <c r="B8" s="3">
        <v>1.8</v>
      </c>
      <c r="C8" s="3">
        <v>1.7</v>
      </c>
      <c r="D8" s="3">
        <v>1.9</v>
      </c>
      <c r="E8" s="3">
        <v>1.8</v>
      </c>
      <c r="F8" s="3">
        <v>1.7</v>
      </c>
      <c r="G8" s="3">
        <v>1.4</v>
      </c>
      <c r="H8" s="3">
        <v>1.7</v>
      </c>
      <c r="I8" s="3">
        <v>1.6</v>
      </c>
      <c r="J8" s="3">
        <v>1.1000000000000001</v>
      </c>
      <c r="K8" s="3">
        <v>1.1000000000000001</v>
      </c>
      <c r="L8" s="3">
        <v>2</v>
      </c>
      <c r="M8" s="3">
        <v>2</v>
      </c>
      <c r="N8" s="3">
        <v>1.7</v>
      </c>
      <c r="O8" s="3">
        <v>1.7</v>
      </c>
      <c r="P8" s="3">
        <v>1.9</v>
      </c>
      <c r="Q8" s="3">
        <v>1.4</v>
      </c>
      <c r="R8" s="3">
        <v>1</v>
      </c>
      <c r="S8" s="3">
        <v>1</v>
      </c>
      <c r="T8" s="3">
        <v>1.4</v>
      </c>
      <c r="U8" s="3">
        <v>1.4</v>
      </c>
      <c r="V8" s="3">
        <v>1.9</v>
      </c>
      <c r="W8" s="3">
        <v>1.7</v>
      </c>
    </row>
    <row r="9" spans="1:23">
      <c r="A9" s="2" t="s">
        <v>9</v>
      </c>
      <c r="B9" s="3">
        <v>2.7</v>
      </c>
      <c r="C9" s="3">
        <v>1.6</v>
      </c>
      <c r="D9" s="3">
        <v>1.5</v>
      </c>
      <c r="E9" s="3">
        <v>1</v>
      </c>
      <c r="F9" s="3">
        <v>1.3</v>
      </c>
      <c r="G9" s="3">
        <v>1.5</v>
      </c>
      <c r="H9" s="3">
        <v>1.4</v>
      </c>
      <c r="I9" s="3">
        <v>1.3</v>
      </c>
      <c r="J9" s="3">
        <v>1.9</v>
      </c>
      <c r="K9" s="3">
        <v>1.9</v>
      </c>
      <c r="L9" s="3">
        <v>1.1000000000000001</v>
      </c>
      <c r="M9" s="3">
        <v>1.1000000000000001</v>
      </c>
      <c r="N9" s="3">
        <v>1.3</v>
      </c>
      <c r="O9" s="3">
        <v>1.3</v>
      </c>
      <c r="P9" s="3">
        <v>1.1000000000000001</v>
      </c>
      <c r="Q9" s="3">
        <v>1.5</v>
      </c>
      <c r="R9" s="3">
        <v>1.8</v>
      </c>
      <c r="S9" s="3">
        <v>1.8</v>
      </c>
      <c r="T9" s="3">
        <v>1.5</v>
      </c>
      <c r="U9" s="3">
        <v>1.5</v>
      </c>
      <c r="V9" s="3">
        <v>1.1000000000000001</v>
      </c>
      <c r="W9" s="3">
        <v>1.3</v>
      </c>
    </row>
    <row r="10" spans="1:23">
      <c r="A10" s="2" t="s">
        <v>10</v>
      </c>
      <c r="B10" s="3">
        <v>2.7</v>
      </c>
      <c r="C10" s="3">
        <v>1.3</v>
      </c>
      <c r="D10" s="3">
        <v>1.3</v>
      </c>
      <c r="E10" s="3">
        <v>1.3</v>
      </c>
      <c r="F10" s="3">
        <v>1</v>
      </c>
      <c r="G10" s="3">
        <v>1.4</v>
      </c>
      <c r="H10" s="3">
        <v>1.3</v>
      </c>
      <c r="I10" s="3">
        <v>1.4</v>
      </c>
      <c r="J10" s="3">
        <v>1.7</v>
      </c>
      <c r="K10" s="3">
        <v>1.7</v>
      </c>
      <c r="L10" s="3">
        <v>1.4</v>
      </c>
      <c r="M10" s="3">
        <v>1.4</v>
      </c>
      <c r="N10" s="3">
        <v>1.3</v>
      </c>
      <c r="O10" s="3">
        <v>1.1000000000000001</v>
      </c>
      <c r="P10" s="3">
        <v>1.4</v>
      </c>
      <c r="Q10" s="3">
        <v>1.4</v>
      </c>
      <c r="R10" s="3">
        <v>1.7</v>
      </c>
      <c r="S10" s="3">
        <v>1.7</v>
      </c>
      <c r="T10" s="3">
        <v>1.4</v>
      </c>
      <c r="U10" s="3">
        <v>1.4</v>
      </c>
      <c r="V10" s="3">
        <v>1.4</v>
      </c>
      <c r="W10" s="3">
        <v>1</v>
      </c>
    </row>
    <row r="11" spans="1:23">
      <c r="A11" s="2" t="s">
        <v>11</v>
      </c>
      <c r="B11" s="3">
        <v>2.4</v>
      </c>
      <c r="C11" s="3">
        <v>1.8</v>
      </c>
      <c r="D11" s="3">
        <v>1.7</v>
      </c>
      <c r="E11" s="3">
        <v>1.5</v>
      </c>
      <c r="F11" s="3">
        <v>1.4</v>
      </c>
      <c r="G11" s="3">
        <v>1</v>
      </c>
      <c r="H11" s="3">
        <v>1.2</v>
      </c>
      <c r="I11" s="3">
        <v>1.2</v>
      </c>
      <c r="J11" s="3">
        <v>1.4</v>
      </c>
      <c r="K11" s="3">
        <v>1.4</v>
      </c>
      <c r="L11" s="3">
        <v>1.8</v>
      </c>
      <c r="M11" s="3">
        <v>1.8</v>
      </c>
      <c r="N11" s="3">
        <v>1.3</v>
      </c>
      <c r="O11" s="3">
        <v>1.5</v>
      </c>
      <c r="P11" s="3">
        <v>1.6</v>
      </c>
      <c r="Q11" s="3">
        <v>1.1000000000000001</v>
      </c>
      <c r="R11" s="3">
        <v>1.4</v>
      </c>
      <c r="S11" s="3">
        <v>1.4</v>
      </c>
      <c r="T11" s="3">
        <v>1</v>
      </c>
      <c r="U11" s="3">
        <v>1.1000000000000001</v>
      </c>
      <c r="V11" s="3">
        <v>1.6</v>
      </c>
      <c r="W11" s="3">
        <v>1.4</v>
      </c>
    </row>
    <row r="12" spans="1:23">
      <c r="A12" s="25" t="s">
        <v>5</v>
      </c>
      <c r="B12" s="26">
        <v>2.4</v>
      </c>
      <c r="C12" s="26">
        <v>1.7</v>
      </c>
      <c r="D12" s="26">
        <v>1.5</v>
      </c>
      <c r="E12" s="26">
        <v>1.4</v>
      </c>
      <c r="F12" s="26">
        <v>1.3</v>
      </c>
      <c r="G12" s="26">
        <v>1.2</v>
      </c>
      <c r="H12" s="26">
        <v>1</v>
      </c>
      <c r="I12" s="26">
        <v>1.1000000000000001</v>
      </c>
      <c r="J12" s="26">
        <v>1.7</v>
      </c>
      <c r="K12" s="26">
        <v>1.7</v>
      </c>
      <c r="L12" s="26">
        <v>1.6</v>
      </c>
      <c r="M12" s="26">
        <v>1.6</v>
      </c>
      <c r="N12" s="26">
        <v>1.1000000000000001</v>
      </c>
      <c r="O12" s="26">
        <v>1.3</v>
      </c>
      <c r="P12" s="26">
        <v>1.6</v>
      </c>
      <c r="Q12" s="26">
        <v>1.3</v>
      </c>
      <c r="R12" s="26">
        <v>1.7</v>
      </c>
      <c r="S12" s="26">
        <v>1.7</v>
      </c>
      <c r="T12" s="26">
        <v>1.2</v>
      </c>
      <c r="U12" s="26">
        <v>1.3</v>
      </c>
      <c r="V12" s="26">
        <v>1.6</v>
      </c>
      <c r="W12" s="26">
        <v>1.3</v>
      </c>
    </row>
    <row r="13" spans="1:23">
      <c r="A13" s="2" t="s">
        <v>12</v>
      </c>
      <c r="B13" s="3">
        <v>2.6</v>
      </c>
      <c r="C13" s="3">
        <v>1.7</v>
      </c>
      <c r="D13" s="3">
        <v>1.5</v>
      </c>
      <c r="E13" s="3">
        <v>1.3</v>
      </c>
      <c r="F13" s="3">
        <v>1.4</v>
      </c>
      <c r="G13" s="3">
        <v>1.2</v>
      </c>
      <c r="H13" s="3">
        <v>1.1000000000000001</v>
      </c>
      <c r="I13" s="3">
        <v>1</v>
      </c>
      <c r="J13" s="3">
        <v>1.6</v>
      </c>
      <c r="K13" s="3">
        <v>1.6</v>
      </c>
      <c r="L13" s="3">
        <v>1.5</v>
      </c>
      <c r="M13" s="3">
        <v>1.5</v>
      </c>
      <c r="N13" s="3">
        <v>1.1000000000000001</v>
      </c>
      <c r="O13" s="3">
        <v>1.4</v>
      </c>
      <c r="P13" s="3">
        <v>1.5</v>
      </c>
      <c r="Q13" s="3">
        <v>1.2</v>
      </c>
      <c r="R13" s="3">
        <v>1.6</v>
      </c>
      <c r="S13" s="3">
        <v>1.6</v>
      </c>
      <c r="T13" s="3">
        <v>1.2</v>
      </c>
      <c r="U13" s="3">
        <v>1.2</v>
      </c>
      <c r="V13" s="3">
        <v>1.5</v>
      </c>
      <c r="W13" s="3">
        <v>1.4</v>
      </c>
    </row>
    <row r="14" spans="1:23">
      <c r="A14" s="2" t="s">
        <v>13</v>
      </c>
      <c r="B14" s="3">
        <v>1.7</v>
      </c>
      <c r="C14" s="3">
        <v>1.7</v>
      </c>
      <c r="D14" s="3">
        <v>1.9</v>
      </c>
      <c r="E14" s="3">
        <v>1.9</v>
      </c>
      <c r="F14" s="3">
        <v>1.7</v>
      </c>
      <c r="G14" s="3">
        <v>1.4</v>
      </c>
      <c r="H14" s="3">
        <v>1.7</v>
      </c>
      <c r="I14" s="3">
        <v>1.6</v>
      </c>
      <c r="J14" s="3">
        <v>1</v>
      </c>
      <c r="K14" s="3">
        <v>1.1000000000000001</v>
      </c>
      <c r="L14" s="3">
        <v>2</v>
      </c>
      <c r="M14" s="3">
        <v>2</v>
      </c>
      <c r="N14" s="3">
        <v>1.7</v>
      </c>
      <c r="O14" s="3">
        <v>1.8</v>
      </c>
      <c r="P14" s="3">
        <v>1.9</v>
      </c>
      <c r="Q14" s="3">
        <v>1.4</v>
      </c>
      <c r="R14" s="3">
        <v>1.1000000000000001</v>
      </c>
      <c r="S14" s="3">
        <v>1.1000000000000001</v>
      </c>
      <c r="T14" s="3">
        <v>1.4</v>
      </c>
      <c r="U14" s="3">
        <v>1.4</v>
      </c>
      <c r="V14" s="3">
        <v>1.9</v>
      </c>
      <c r="W14" s="3">
        <v>1.7</v>
      </c>
    </row>
    <row r="15" spans="1:23">
      <c r="A15" s="2" t="s">
        <v>14</v>
      </c>
      <c r="B15" s="3">
        <v>1.8</v>
      </c>
      <c r="C15" s="3">
        <v>1.6</v>
      </c>
      <c r="D15" s="3">
        <v>1.9</v>
      </c>
      <c r="E15" s="3">
        <v>1.9</v>
      </c>
      <c r="F15" s="3">
        <v>1.7</v>
      </c>
      <c r="G15" s="3">
        <v>1.4</v>
      </c>
      <c r="H15" s="3">
        <v>1.7</v>
      </c>
      <c r="I15" s="3">
        <v>1.6</v>
      </c>
      <c r="J15" s="3">
        <v>1.1000000000000001</v>
      </c>
      <c r="K15" s="3">
        <v>1</v>
      </c>
      <c r="L15" s="3">
        <v>2</v>
      </c>
      <c r="M15" s="3">
        <v>2</v>
      </c>
      <c r="N15" s="3">
        <v>1.7</v>
      </c>
      <c r="O15" s="3">
        <v>1.7</v>
      </c>
      <c r="P15" s="3">
        <v>1.9</v>
      </c>
      <c r="Q15" s="3">
        <v>1.3</v>
      </c>
      <c r="R15" s="3">
        <v>1.1000000000000001</v>
      </c>
      <c r="S15" s="3">
        <v>1.1000000000000001</v>
      </c>
      <c r="T15" s="3">
        <v>1.4</v>
      </c>
      <c r="U15" s="3">
        <v>1.3</v>
      </c>
      <c r="V15" s="3">
        <v>1.9</v>
      </c>
      <c r="W15" s="3">
        <v>1.7</v>
      </c>
    </row>
    <row r="16" spans="1:23">
      <c r="A16" s="2" t="s">
        <v>15</v>
      </c>
      <c r="B16" s="3">
        <v>2.8</v>
      </c>
      <c r="C16" s="3">
        <v>1.8</v>
      </c>
      <c r="D16" s="3">
        <v>1.6</v>
      </c>
      <c r="E16" s="3">
        <v>1.1000000000000001</v>
      </c>
      <c r="F16" s="3">
        <v>1.4</v>
      </c>
      <c r="G16" s="3">
        <v>1.8</v>
      </c>
      <c r="H16" s="3">
        <v>1.6</v>
      </c>
      <c r="I16" s="3">
        <v>1.5</v>
      </c>
      <c r="J16" s="3">
        <v>2</v>
      </c>
      <c r="K16" s="3">
        <v>2</v>
      </c>
      <c r="L16" s="3">
        <v>1</v>
      </c>
      <c r="M16" s="3">
        <v>1</v>
      </c>
      <c r="N16" s="3">
        <v>1.5</v>
      </c>
      <c r="O16" s="3">
        <v>1.5</v>
      </c>
      <c r="P16" s="3">
        <v>1.1000000000000001</v>
      </c>
      <c r="Q16" s="3">
        <v>1.7</v>
      </c>
      <c r="R16" s="3">
        <v>2</v>
      </c>
      <c r="S16" s="3">
        <v>2</v>
      </c>
      <c r="T16" s="3">
        <v>1.8</v>
      </c>
      <c r="U16" s="3">
        <v>1.7</v>
      </c>
      <c r="V16" s="3">
        <v>1.1000000000000001</v>
      </c>
      <c r="W16" s="3">
        <v>1.4</v>
      </c>
    </row>
    <row r="17" spans="1:23">
      <c r="A17" s="2" t="s">
        <v>16</v>
      </c>
      <c r="B17" s="3">
        <v>2.8</v>
      </c>
      <c r="C17" s="3">
        <v>1.8</v>
      </c>
      <c r="D17" s="3">
        <v>1.6</v>
      </c>
      <c r="E17" s="3">
        <v>1.1000000000000001</v>
      </c>
      <c r="F17" s="3">
        <v>1.4</v>
      </c>
      <c r="G17" s="3">
        <v>1.8</v>
      </c>
      <c r="H17" s="3">
        <v>1.6</v>
      </c>
      <c r="I17" s="3">
        <v>1.5</v>
      </c>
      <c r="J17" s="3">
        <v>2</v>
      </c>
      <c r="K17" s="3">
        <v>2</v>
      </c>
      <c r="L17" s="3">
        <v>1</v>
      </c>
      <c r="M17" s="3">
        <v>1</v>
      </c>
      <c r="N17" s="3">
        <v>1.5</v>
      </c>
      <c r="O17" s="3">
        <v>1.5</v>
      </c>
      <c r="P17" s="3">
        <v>1.1000000000000001</v>
      </c>
      <c r="Q17" s="3">
        <v>1.7</v>
      </c>
      <c r="R17" s="3">
        <v>2</v>
      </c>
      <c r="S17" s="3">
        <v>2</v>
      </c>
      <c r="T17" s="3">
        <v>1.8</v>
      </c>
      <c r="U17" s="3">
        <v>1.7</v>
      </c>
      <c r="V17" s="3">
        <v>1.1000000000000001</v>
      </c>
      <c r="W17" s="3">
        <v>1.4</v>
      </c>
    </row>
    <row r="18" spans="1:23">
      <c r="A18" s="2" t="s">
        <v>17</v>
      </c>
      <c r="B18" s="3">
        <v>2.6</v>
      </c>
      <c r="C18" s="3">
        <v>1.7</v>
      </c>
      <c r="D18" s="3">
        <v>1.5</v>
      </c>
      <c r="E18" s="3">
        <v>1.3</v>
      </c>
      <c r="F18" s="3">
        <v>1.3</v>
      </c>
      <c r="G18" s="3">
        <v>1.3</v>
      </c>
      <c r="H18" s="3">
        <v>1.1000000000000001</v>
      </c>
      <c r="I18" s="3">
        <v>1.1000000000000001</v>
      </c>
      <c r="J18" s="3">
        <v>1.7</v>
      </c>
      <c r="K18" s="3">
        <v>1.7</v>
      </c>
      <c r="L18" s="3">
        <v>1.5</v>
      </c>
      <c r="M18" s="3">
        <v>1.5</v>
      </c>
      <c r="N18" s="3">
        <v>1</v>
      </c>
      <c r="O18" s="3">
        <v>1.3</v>
      </c>
      <c r="P18" s="3">
        <v>1.5</v>
      </c>
      <c r="Q18" s="3">
        <v>1.3</v>
      </c>
      <c r="R18" s="3">
        <v>1.7</v>
      </c>
      <c r="S18" s="3">
        <v>1.7</v>
      </c>
      <c r="T18" s="3">
        <v>1.3</v>
      </c>
      <c r="U18" s="3">
        <v>1.3</v>
      </c>
      <c r="V18" s="3">
        <v>1.5</v>
      </c>
      <c r="W18" s="3">
        <v>1.3</v>
      </c>
    </row>
    <row r="19" spans="1:23">
      <c r="A19" s="2" t="s">
        <v>18</v>
      </c>
      <c r="B19" s="3">
        <v>2.5</v>
      </c>
      <c r="C19" s="3">
        <v>1.4</v>
      </c>
      <c r="D19" s="3">
        <v>1.3</v>
      </c>
      <c r="E19" s="3">
        <v>1.3</v>
      </c>
      <c r="F19" s="3">
        <v>1.1000000000000001</v>
      </c>
      <c r="G19" s="3">
        <v>1.5</v>
      </c>
      <c r="H19" s="3">
        <v>1.3</v>
      </c>
      <c r="I19" s="3">
        <v>1.4</v>
      </c>
      <c r="J19" s="3">
        <v>1.8</v>
      </c>
      <c r="K19" s="3">
        <v>1.7</v>
      </c>
      <c r="L19" s="3">
        <v>1.5</v>
      </c>
      <c r="M19" s="3">
        <v>1.5</v>
      </c>
      <c r="N19" s="3">
        <v>1.3</v>
      </c>
      <c r="O19" s="3">
        <v>1</v>
      </c>
      <c r="P19" s="3">
        <v>1.4</v>
      </c>
      <c r="Q19" s="3">
        <v>1.5</v>
      </c>
      <c r="R19" s="3">
        <v>1.7</v>
      </c>
      <c r="S19" s="3">
        <v>1.7</v>
      </c>
      <c r="T19" s="3">
        <v>1.5</v>
      </c>
      <c r="U19" s="3">
        <v>1.5</v>
      </c>
      <c r="V19" s="3">
        <v>1.4</v>
      </c>
      <c r="W19" s="3">
        <v>1.1000000000000001</v>
      </c>
    </row>
    <row r="20" spans="1:23">
      <c r="A20" s="2" t="s">
        <v>19</v>
      </c>
      <c r="B20" s="3">
        <v>2.8</v>
      </c>
      <c r="C20" s="3">
        <v>1.8</v>
      </c>
      <c r="D20" s="3">
        <v>1.5</v>
      </c>
      <c r="E20" s="3">
        <v>1.1000000000000001</v>
      </c>
      <c r="F20" s="3">
        <v>1.4</v>
      </c>
      <c r="G20" s="3">
        <v>1.6</v>
      </c>
      <c r="H20" s="3">
        <v>1.6</v>
      </c>
      <c r="I20" s="3">
        <v>1.5</v>
      </c>
      <c r="J20" s="3">
        <v>1.9</v>
      </c>
      <c r="K20" s="3">
        <v>1.9</v>
      </c>
      <c r="L20" s="3">
        <v>1.1000000000000001</v>
      </c>
      <c r="M20" s="3">
        <v>1.1000000000000001</v>
      </c>
      <c r="N20" s="3">
        <v>1.5</v>
      </c>
      <c r="O20" s="3">
        <v>1.4</v>
      </c>
      <c r="P20" s="3">
        <v>1</v>
      </c>
      <c r="Q20" s="3">
        <v>1.6</v>
      </c>
      <c r="R20" s="3">
        <v>1.9</v>
      </c>
      <c r="S20" s="3">
        <v>1.9</v>
      </c>
      <c r="T20" s="3">
        <v>1.6</v>
      </c>
      <c r="U20" s="3">
        <v>1.6</v>
      </c>
      <c r="V20" s="3">
        <v>1</v>
      </c>
      <c r="W20" s="3">
        <v>1.4</v>
      </c>
    </row>
    <row r="21" spans="1:23">
      <c r="A21" s="2" t="s">
        <v>20</v>
      </c>
      <c r="B21" s="3">
        <v>2.4</v>
      </c>
      <c r="C21" s="3">
        <v>1.8</v>
      </c>
      <c r="D21" s="3">
        <v>1.7</v>
      </c>
      <c r="E21" s="3">
        <v>1.5</v>
      </c>
      <c r="F21" s="3">
        <v>1.4</v>
      </c>
      <c r="G21" s="3">
        <v>1.1000000000000001</v>
      </c>
      <c r="H21" s="3">
        <v>1.3</v>
      </c>
      <c r="I21" s="3">
        <v>1.2</v>
      </c>
      <c r="J21" s="3">
        <v>1.4</v>
      </c>
      <c r="K21" s="3">
        <v>1.3</v>
      </c>
      <c r="L21" s="3">
        <v>1.7</v>
      </c>
      <c r="M21" s="3">
        <v>1.7</v>
      </c>
      <c r="N21" s="3">
        <v>1.3</v>
      </c>
      <c r="O21" s="3">
        <v>1.5</v>
      </c>
      <c r="P21" s="3">
        <v>1.6</v>
      </c>
      <c r="Q21" s="3">
        <v>1</v>
      </c>
      <c r="R21" s="3">
        <v>1.4</v>
      </c>
      <c r="S21" s="3">
        <v>1.4</v>
      </c>
      <c r="T21" s="3">
        <v>1.1000000000000001</v>
      </c>
      <c r="U21" s="3">
        <v>1</v>
      </c>
      <c r="V21" s="3">
        <v>1.6</v>
      </c>
      <c r="W21" s="3">
        <v>1.4</v>
      </c>
    </row>
    <row r="22" spans="1:23">
      <c r="A22" s="2" t="s">
        <v>21</v>
      </c>
      <c r="B22" s="3">
        <v>1.8</v>
      </c>
      <c r="C22" s="3">
        <v>1.7</v>
      </c>
      <c r="D22" s="3">
        <v>1.9</v>
      </c>
      <c r="E22" s="3">
        <v>1.8</v>
      </c>
      <c r="F22" s="3">
        <v>1.7</v>
      </c>
      <c r="G22" s="3">
        <v>1.4</v>
      </c>
      <c r="H22" s="3">
        <v>1.7</v>
      </c>
      <c r="I22" s="3">
        <v>1.6</v>
      </c>
      <c r="J22" s="3">
        <v>1.1000000000000001</v>
      </c>
      <c r="K22" s="3">
        <v>1.1000000000000001</v>
      </c>
      <c r="L22" s="3">
        <v>2</v>
      </c>
      <c r="M22" s="3">
        <v>2</v>
      </c>
      <c r="N22" s="3">
        <v>1.7</v>
      </c>
      <c r="O22" s="3">
        <v>1.7</v>
      </c>
      <c r="P22" s="3">
        <v>1.9</v>
      </c>
      <c r="Q22" s="3">
        <v>1.4</v>
      </c>
      <c r="R22" s="3">
        <v>1</v>
      </c>
      <c r="S22" s="3">
        <v>1</v>
      </c>
      <c r="T22" s="3">
        <v>1.4</v>
      </c>
      <c r="U22" s="3">
        <v>1.4</v>
      </c>
      <c r="V22" s="3">
        <v>1.9</v>
      </c>
      <c r="W22" s="3">
        <v>1.7</v>
      </c>
    </row>
    <row r="23" spans="1:23">
      <c r="A23" s="2" t="s">
        <v>22</v>
      </c>
      <c r="B23" s="3">
        <v>1.8</v>
      </c>
      <c r="C23" s="3">
        <v>1.7</v>
      </c>
      <c r="D23" s="3">
        <v>1.9</v>
      </c>
      <c r="E23" s="3">
        <v>1.8</v>
      </c>
      <c r="F23" s="3">
        <v>1.7</v>
      </c>
      <c r="G23" s="3">
        <v>1.4</v>
      </c>
      <c r="H23" s="3">
        <v>1.7</v>
      </c>
      <c r="I23" s="3">
        <v>1.6</v>
      </c>
      <c r="J23" s="3">
        <v>1.1000000000000001</v>
      </c>
      <c r="K23" s="3">
        <v>1.1000000000000001</v>
      </c>
      <c r="L23" s="3">
        <v>2</v>
      </c>
      <c r="M23" s="3">
        <v>2</v>
      </c>
      <c r="N23" s="3">
        <v>1.7</v>
      </c>
      <c r="O23" s="3">
        <v>1.7</v>
      </c>
      <c r="P23" s="3">
        <v>1.9</v>
      </c>
      <c r="Q23" s="3">
        <v>1.4</v>
      </c>
      <c r="R23" s="3">
        <v>1</v>
      </c>
      <c r="S23" s="3">
        <v>1</v>
      </c>
      <c r="T23" s="3">
        <v>1.4</v>
      </c>
      <c r="U23" s="3">
        <v>1.4</v>
      </c>
      <c r="V23" s="3">
        <v>1.9</v>
      </c>
      <c r="W23" s="3">
        <v>1.7</v>
      </c>
    </row>
    <row r="24" spans="1:23">
      <c r="A24" s="2" t="s">
        <v>23</v>
      </c>
      <c r="B24" s="3">
        <v>2.4</v>
      </c>
      <c r="C24" s="3">
        <v>1.8</v>
      </c>
      <c r="D24" s="3">
        <v>1.7</v>
      </c>
      <c r="E24" s="3">
        <v>1.5</v>
      </c>
      <c r="F24" s="3">
        <v>1.4</v>
      </c>
      <c r="G24" s="3">
        <v>1</v>
      </c>
      <c r="H24" s="3">
        <v>1.2</v>
      </c>
      <c r="I24" s="3">
        <v>1.2</v>
      </c>
      <c r="J24" s="3">
        <v>1.4</v>
      </c>
      <c r="K24" s="3">
        <v>1.4</v>
      </c>
      <c r="L24" s="3">
        <v>1.8</v>
      </c>
      <c r="M24" s="3">
        <v>1.8</v>
      </c>
      <c r="N24" s="3">
        <v>1.3</v>
      </c>
      <c r="O24" s="3">
        <v>1.5</v>
      </c>
      <c r="P24" s="3">
        <v>1.6</v>
      </c>
      <c r="Q24" s="3">
        <v>1.1000000000000001</v>
      </c>
      <c r="R24" s="3">
        <v>1.4</v>
      </c>
      <c r="S24" s="3">
        <v>1.4</v>
      </c>
      <c r="T24" s="3">
        <v>1</v>
      </c>
      <c r="U24" s="3">
        <v>1.1000000000000001</v>
      </c>
      <c r="V24" s="3">
        <v>1.6</v>
      </c>
      <c r="W24" s="3">
        <v>1.4</v>
      </c>
    </row>
    <row r="25" spans="1:23">
      <c r="A25" s="2" t="s">
        <v>24</v>
      </c>
      <c r="B25" s="3">
        <v>2.4</v>
      </c>
      <c r="C25" s="3">
        <v>1.8</v>
      </c>
      <c r="D25" s="3">
        <v>1.7</v>
      </c>
      <c r="E25" s="3">
        <v>1.5</v>
      </c>
      <c r="F25" s="3">
        <v>1.4</v>
      </c>
      <c r="G25" s="3">
        <v>1.1000000000000001</v>
      </c>
      <c r="H25" s="3">
        <v>1.3</v>
      </c>
      <c r="I25" s="3">
        <v>1.2</v>
      </c>
      <c r="J25" s="3">
        <v>1.4</v>
      </c>
      <c r="K25" s="3">
        <v>1.3</v>
      </c>
      <c r="L25" s="3">
        <v>1.7</v>
      </c>
      <c r="M25" s="3">
        <v>1.7</v>
      </c>
      <c r="N25" s="3">
        <v>1.3</v>
      </c>
      <c r="O25" s="3">
        <v>1.5</v>
      </c>
      <c r="P25" s="3">
        <v>1.6</v>
      </c>
      <c r="Q25" s="3">
        <v>1</v>
      </c>
      <c r="R25" s="3">
        <v>1.4</v>
      </c>
      <c r="S25" s="3">
        <v>1.4</v>
      </c>
      <c r="T25" s="3">
        <v>1.1000000000000001</v>
      </c>
      <c r="U25" s="3">
        <v>1</v>
      </c>
      <c r="V25" s="3">
        <v>1.6</v>
      </c>
      <c r="W25" s="3">
        <v>1.4</v>
      </c>
    </row>
    <row r="26" spans="1:23">
      <c r="A26" s="2" t="s">
        <v>25</v>
      </c>
      <c r="B26" s="3">
        <v>2.8</v>
      </c>
      <c r="C26" s="3">
        <v>1.8</v>
      </c>
      <c r="D26" s="3">
        <v>1.5</v>
      </c>
      <c r="E26" s="3">
        <v>1.1000000000000001</v>
      </c>
      <c r="F26" s="3">
        <v>1.4</v>
      </c>
      <c r="G26" s="3">
        <v>1.6</v>
      </c>
      <c r="H26" s="3">
        <v>1.6</v>
      </c>
      <c r="I26" s="3">
        <v>1.5</v>
      </c>
      <c r="J26" s="3">
        <v>1.9</v>
      </c>
      <c r="K26" s="3">
        <v>1.9</v>
      </c>
      <c r="L26" s="3">
        <v>1.1000000000000001</v>
      </c>
      <c r="M26" s="3">
        <v>1.1000000000000001</v>
      </c>
      <c r="N26" s="3">
        <v>1.5</v>
      </c>
      <c r="O26" s="3">
        <v>1.4</v>
      </c>
      <c r="P26" s="3">
        <v>1</v>
      </c>
      <c r="Q26" s="3">
        <v>1.6</v>
      </c>
      <c r="R26" s="3">
        <v>1.9</v>
      </c>
      <c r="S26" s="3">
        <v>1.9</v>
      </c>
      <c r="T26" s="3">
        <v>1.6</v>
      </c>
      <c r="U26" s="3">
        <v>1.6</v>
      </c>
      <c r="V26" s="3">
        <v>1</v>
      </c>
      <c r="W26" s="3">
        <v>1.4</v>
      </c>
    </row>
    <row r="27" spans="1:23">
      <c r="A27" s="2" t="s">
        <v>26</v>
      </c>
      <c r="B27" s="3">
        <v>2.7</v>
      </c>
      <c r="C27" s="3">
        <v>1.3</v>
      </c>
      <c r="D27" s="3">
        <v>1.3</v>
      </c>
      <c r="E27" s="3">
        <v>1.3</v>
      </c>
      <c r="F27" s="3">
        <v>1</v>
      </c>
      <c r="G27" s="3">
        <v>1.4</v>
      </c>
      <c r="H27" s="3">
        <v>1.3</v>
      </c>
      <c r="I27" s="3">
        <v>1.4</v>
      </c>
      <c r="J27" s="3">
        <v>1.7</v>
      </c>
      <c r="K27" s="3">
        <v>1.7</v>
      </c>
      <c r="L27" s="3">
        <v>1.4</v>
      </c>
      <c r="M27" s="3">
        <v>1.4</v>
      </c>
      <c r="N27" s="3">
        <v>1.3</v>
      </c>
      <c r="O27" s="3">
        <v>1.1000000000000001</v>
      </c>
      <c r="P27" s="3">
        <v>1.4</v>
      </c>
      <c r="Q27" s="3">
        <v>1.4</v>
      </c>
      <c r="R27" s="3">
        <v>1.7</v>
      </c>
      <c r="S27" s="3">
        <v>1.7</v>
      </c>
      <c r="T27" s="3">
        <v>1.4</v>
      </c>
      <c r="U27" s="3">
        <v>1.4</v>
      </c>
      <c r="V27" s="3">
        <v>1.4</v>
      </c>
      <c r="W27" s="3">
        <v>1</v>
      </c>
    </row>
    <row r="35" spans="4:4">
      <c r="D35" s="23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7"/>
  <sheetViews>
    <sheetView workbookViewId="0">
      <selection activeCell="E17" sqref="E17"/>
    </sheetView>
  </sheetViews>
  <sheetFormatPr baseColWidth="10" defaultColWidth="11" defaultRowHeight="16"/>
  <cols>
    <col min="1" max="1" width="15.1640625" bestFit="1" customWidth="1"/>
    <col min="2" max="2" width="23.83203125" bestFit="1" customWidth="1"/>
    <col min="3" max="3" width="20" bestFit="1" customWidth="1"/>
    <col min="4" max="4" width="8.6640625" bestFit="1" customWidth="1"/>
    <col min="5" max="5" width="7.6640625" bestFit="1" customWidth="1"/>
  </cols>
  <sheetData>
    <row r="1" spans="1:6" ht="64">
      <c r="A1" s="1"/>
      <c r="B1" s="147" t="s">
        <v>1215</v>
      </c>
      <c r="C1" s="147" t="s">
        <v>1216</v>
      </c>
      <c r="D1" s="6" t="s">
        <v>1217</v>
      </c>
      <c r="E1" s="6" t="s">
        <v>1218</v>
      </c>
      <c r="F1" s="5"/>
    </row>
    <row r="2" spans="1:6" ht="17">
      <c r="A2" s="1" t="s">
        <v>27</v>
      </c>
      <c r="B2" s="148" t="s">
        <v>1219</v>
      </c>
      <c r="C2" s="148" t="s">
        <v>1220</v>
      </c>
      <c r="D2" s="149">
        <v>0.37999999999999995</v>
      </c>
      <c r="E2" s="149">
        <v>0.39999999999999997</v>
      </c>
      <c r="F2" s="146"/>
    </row>
    <row r="3" spans="1:6">
      <c r="A3" s="1" t="s">
        <v>27</v>
      </c>
      <c r="B3" s="1" t="s">
        <v>1219</v>
      </c>
      <c r="C3" s="1" t="s">
        <v>1221</v>
      </c>
      <c r="D3" s="150">
        <v>0.37999999999999995</v>
      </c>
      <c r="E3" s="150">
        <v>0.39999999999999997</v>
      </c>
      <c r="F3" s="145"/>
    </row>
    <row r="4" spans="1:6">
      <c r="A4" s="1" t="s">
        <v>30</v>
      </c>
      <c r="B4" s="1" t="s">
        <v>1219</v>
      </c>
      <c r="C4" s="1" t="s">
        <v>1221</v>
      </c>
      <c r="D4" s="150">
        <v>0.37999999999999995</v>
      </c>
      <c r="E4" s="150">
        <v>0.39999999999999997</v>
      </c>
      <c r="F4" s="145"/>
    </row>
    <row r="5" spans="1:6">
      <c r="A5" s="1" t="s">
        <v>29</v>
      </c>
      <c r="B5" s="1" t="s">
        <v>1219</v>
      </c>
      <c r="C5" s="1" t="s">
        <v>1221</v>
      </c>
      <c r="D5" s="150">
        <v>0.37999999999999995</v>
      </c>
      <c r="E5" s="150">
        <v>0.39999999999999997</v>
      </c>
      <c r="F5" s="145"/>
    </row>
    <row r="6" spans="1:6">
      <c r="A6" s="1" t="s">
        <v>31</v>
      </c>
      <c r="B6" s="1" t="s">
        <v>1219</v>
      </c>
      <c r="C6" s="1" t="s">
        <v>1221</v>
      </c>
      <c r="D6" s="150">
        <v>0.37999999999999995</v>
      </c>
      <c r="E6" s="150">
        <v>0.39999999999999997</v>
      </c>
      <c r="F6" s="145"/>
    </row>
    <row r="7" spans="1:6">
      <c r="A7" s="1" t="s">
        <v>32</v>
      </c>
      <c r="B7" s="1" t="s">
        <v>1219</v>
      </c>
      <c r="C7" s="1" t="s">
        <v>1221</v>
      </c>
      <c r="D7" s="150">
        <v>0.37999999999999995</v>
      </c>
      <c r="E7" s="150">
        <v>0.39999999999999997</v>
      </c>
      <c r="F7" s="145"/>
    </row>
    <row r="8" spans="1:6">
      <c r="A8" s="1" t="s">
        <v>33</v>
      </c>
      <c r="B8" s="1" t="s">
        <v>1219</v>
      </c>
      <c r="C8" s="1" t="s">
        <v>1221</v>
      </c>
      <c r="D8" s="150">
        <v>0.37999999999999995</v>
      </c>
      <c r="E8" s="150">
        <v>0.39999999999999997</v>
      </c>
      <c r="F8" s="145"/>
    </row>
    <row r="9" spans="1:6">
      <c r="A9" s="1" t="s">
        <v>34</v>
      </c>
      <c r="B9" s="1" t="s">
        <v>1219</v>
      </c>
      <c r="C9" s="1" t="s">
        <v>1221</v>
      </c>
      <c r="D9" s="150">
        <v>0.37999999999999995</v>
      </c>
      <c r="E9" s="150">
        <v>0.39999999999999997</v>
      </c>
      <c r="F9" s="145"/>
    </row>
    <row r="10" spans="1:6">
      <c r="A10" s="1" t="s">
        <v>35</v>
      </c>
      <c r="B10" s="1" t="s">
        <v>1219</v>
      </c>
      <c r="C10" s="1" t="s">
        <v>1221</v>
      </c>
      <c r="D10" s="150">
        <v>0.37999999999999995</v>
      </c>
      <c r="E10" s="150">
        <v>0.39999999999999997</v>
      </c>
      <c r="F10" s="145"/>
    </row>
    <row r="11" spans="1:6">
      <c r="A11" s="1" t="s">
        <v>36</v>
      </c>
      <c r="B11" s="1" t="s">
        <v>1219</v>
      </c>
      <c r="C11" s="1" t="s">
        <v>1221</v>
      </c>
      <c r="D11" s="150">
        <v>0.37999999999999995</v>
      </c>
      <c r="E11" s="150">
        <v>0.39999999999999997</v>
      </c>
      <c r="F11" s="145"/>
    </row>
    <row r="12" spans="1:6">
      <c r="A12" s="1" t="s">
        <v>37</v>
      </c>
      <c r="B12" s="1" t="s">
        <v>1219</v>
      </c>
      <c r="C12" s="1" t="s">
        <v>1221</v>
      </c>
      <c r="D12" s="150">
        <v>0.37999999999999995</v>
      </c>
      <c r="E12" s="150">
        <v>0.39999999999999997</v>
      </c>
      <c r="F12" s="145"/>
    </row>
    <row r="13" spans="1:6">
      <c r="A13" s="1" t="s">
        <v>38</v>
      </c>
      <c r="B13" s="1" t="s">
        <v>1219</v>
      </c>
      <c r="C13" s="1" t="s">
        <v>1221</v>
      </c>
      <c r="D13" s="150">
        <v>0.37999999999999995</v>
      </c>
      <c r="E13" s="150">
        <v>0.39999999999999997</v>
      </c>
      <c r="F13" s="145"/>
    </row>
    <row r="14" spans="1:6">
      <c r="A14" s="1" t="s">
        <v>39</v>
      </c>
      <c r="B14" s="1" t="s">
        <v>1222</v>
      </c>
      <c r="C14" s="1" t="s">
        <v>1223</v>
      </c>
      <c r="D14" s="150">
        <v>0.37</v>
      </c>
      <c r="E14" s="150">
        <v>0.44</v>
      </c>
      <c r="F14" s="145"/>
    </row>
    <row r="15" spans="1:6">
      <c r="A15" s="1" t="s">
        <v>40</v>
      </c>
      <c r="B15" s="1" t="s">
        <v>1219</v>
      </c>
      <c r="C15" s="1" t="s">
        <v>1221</v>
      </c>
      <c r="D15" s="150">
        <v>0.37999999999999995</v>
      </c>
      <c r="E15" s="150">
        <v>0.39999999999999997</v>
      </c>
      <c r="F15" s="145"/>
    </row>
    <row r="16" spans="1:6">
      <c r="A16" s="1" t="s">
        <v>41</v>
      </c>
      <c r="B16" s="1" t="s">
        <v>1219</v>
      </c>
      <c r="C16" s="1" t="s">
        <v>1221</v>
      </c>
      <c r="D16" s="150">
        <v>0.37999999999999995</v>
      </c>
      <c r="E16" s="150">
        <v>0.39999999999999997</v>
      </c>
      <c r="F16" s="145"/>
    </row>
    <row r="17" spans="1:6">
      <c r="A17" s="1" t="s">
        <v>2</v>
      </c>
      <c r="B17" s="1" t="s">
        <v>1224</v>
      </c>
      <c r="C17" s="1" t="s">
        <v>1225</v>
      </c>
      <c r="D17" s="150">
        <v>0.32</v>
      </c>
      <c r="E17" s="150">
        <v>0.33999999999999997</v>
      </c>
      <c r="F17" s="145"/>
    </row>
    <row r="18" spans="1:6">
      <c r="A18" s="1" t="s">
        <v>42</v>
      </c>
      <c r="B18" s="1" t="s">
        <v>1226</v>
      </c>
      <c r="C18" s="1" t="s">
        <v>1227</v>
      </c>
      <c r="D18" s="150">
        <v>0.39999999999999997</v>
      </c>
      <c r="E18" s="150">
        <v>0.43</v>
      </c>
      <c r="F18" s="145"/>
    </row>
    <row r="19" spans="1:6">
      <c r="A19" s="1" t="s">
        <v>43</v>
      </c>
      <c r="B19" s="1" t="s">
        <v>1228</v>
      </c>
      <c r="C19" s="1" t="s">
        <v>1229</v>
      </c>
      <c r="D19" s="150">
        <v>0.37</v>
      </c>
      <c r="E19" s="150">
        <v>0.44999999999999996</v>
      </c>
      <c r="F19" s="145"/>
    </row>
    <row r="20" spans="1:6">
      <c r="A20" s="1" t="s">
        <v>44</v>
      </c>
      <c r="B20" s="1" t="s">
        <v>1228</v>
      </c>
      <c r="C20" s="1" t="s">
        <v>1229</v>
      </c>
      <c r="D20" s="150">
        <v>0.37</v>
      </c>
      <c r="E20" s="150">
        <v>0.44999999999999996</v>
      </c>
      <c r="F20" s="145"/>
    </row>
    <row r="21" spans="1:6">
      <c r="A21" s="1" t="s">
        <v>45</v>
      </c>
      <c r="B21" s="1" t="s">
        <v>1228</v>
      </c>
      <c r="C21" s="1" t="s">
        <v>1229</v>
      </c>
      <c r="D21" s="150">
        <v>0.37</v>
      </c>
      <c r="E21" s="150">
        <v>0.44999999999999996</v>
      </c>
      <c r="F21" s="145"/>
    </row>
    <row r="22" spans="1:6">
      <c r="A22" s="1" t="s">
        <v>46</v>
      </c>
      <c r="B22" s="1" t="s">
        <v>1228</v>
      </c>
      <c r="C22" s="1" t="s">
        <v>1229</v>
      </c>
      <c r="D22" s="150">
        <v>0.37</v>
      </c>
      <c r="E22" s="150">
        <v>0.44999999999999996</v>
      </c>
      <c r="F22" s="145"/>
    </row>
    <row r="23" spans="1:6">
      <c r="A23" s="1" t="s">
        <v>47</v>
      </c>
      <c r="B23" s="1" t="s">
        <v>1226</v>
      </c>
      <c r="C23" s="1" t="s">
        <v>1227</v>
      </c>
      <c r="D23" s="150">
        <v>0.39999999999999997</v>
      </c>
      <c r="E23" s="150">
        <v>0.43</v>
      </c>
      <c r="F23" s="145"/>
    </row>
    <row r="24" spans="1:6">
      <c r="A24" s="1" t="s">
        <v>48</v>
      </c>
      <c r="B24" s="1" t="s">
        <v>1226</v>
      </c>
      <c r="C24" s="1" t="s">
        <v>1227</v>
      </c>
      <c r="D24" s="150">
        <v>0.39999999999999997</v>
      </c>
      <c r="E24" s="150">
        <v>0.43</v>
      </c>
      <c r="F24" s="145"/>
    </row>
    <row r="25" spans="1:6">
      <c r="A25" s="1" t="s">
        <v>49</v>
      </c>
      <c r="B25" s="1" t="s">
        <v>1226</v>
      </c>
      <c r="C25" s="1" t="s">
        <v>1227</v>
      </c>
      <c r="D25" s="150">
        <v>0.39999999999999997</v>
      </c>
      <c r="E25" s="150">
        <v>0.43</v>
      </c>
      <c r="F25" s="145"/>
    </row>
    <row r="26" spans="1:6">
      <c r="A26" s="1" t="s">
        <v>3</v>
      </c>
      <c r="B26" s="1" t="s">
        <v>1224</v>
      </c>
      <c r="C26" s="1" t="s">
        <v>1225</v>
      </c>
      <c r="D26" s="150">
        <v>0.32</v>
      </c>
      <c r="E26" s="150">
        <v>0.33999999999999997</v>
      </c>
      <c r="F26" s="145"/>
    </row>
    <row r="27" spans="1:6">
      <c r="A27" s="1" t="s">
        <v>50</v>
      </c>
      <c r="B27" s="1" t="s">
        <v>1224</v>
      </c>
      <c r="C27" s="1" t="s">
        <v>1225</v>
      </c>
      <c r="D27" s="150">
        <v>0.32</v>
      </c>
      <c r="E27" s="150">
        <v>0.33999999999999997</v>
      </c>
      <c r="F27" s="145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7"/>
  <sheetViews>
    <sheetView topLeftCell="I1" zoomScale="85" zoomScaleNormal="85" workbookViewId="0">
      <selection activeCell="V8" sqref="V8"/>
    </sheetView>
  </sheetViews>
  <sheetFormatPr baseColWidth="10" defaultColWidth="9.1640625" defaultRowHeight="18"/>
  <cols>
    <col min="1" max="1" width="26.1640625" style="33" customWidth="1"/>
    <col min="2" max="4" width="17.5" style="33" customWidth="1"/>
    <col min="5" max="5" width="27" style="33" customWidth="1"/>
    <col min="6" max="8" width="17.5" style="33" customWidth="1"/>
    <col min="9" max="9" width="25" style="33" customWidth="1"/>
    <col min="10" max="12" width="17.5" style="33" customWidth="1"/>
    <col min="13" max="13" width="25.5" style="33" customWidth="1"/>
    <col min="14" max="14" width="18.1640625" style="33" customWidth="1"/>
    <col min="15" max="16" width="17.5" style="33" customWidth="1"/>
    <col min="17" max="17" width="25" style="33" customWidth="1"/>
    <col min="18" max="20" width="17.5" style="33" customWidth="1"/>
    <col min="21" max="21" width="24.6640625" style="33" customWidth="1"/>
    <col min="22" max="24" width="17.5" style="33" customWidth="1"/>
    <col min="25" max="25" width="24.5" style="33" customWidth="1"/>
    <col min="26" max="26" width="17.5" style="33" customWidth="1"/>
    <col min="27" max="27" width="24.33203125" style="33" customWidth="1"/>
    <col min="28" max="28" width="20.33203125" style="33" customWidth="1"/>
    <col min="29" max="30" width="17.5" style="33" customWidth="1"/>
    <col min="31" max="31" width="20.5" style="33" customWidth="1"/>
    <col min="32" max="32" width="17.5" style="33" customWidth="1"/>
    <col min="33" max="33" width="26.5" style="33" customWidth="1"/>
    <col min="34" max="34" width="17.33203125" style="33" customWidth="1"/>
    <col min="35" max="35" width="25.5" style="33" customWidth="1"/>
    <col min="36" max="36" width="15.5" style="33" customWidth="1"/>
    <col min="37" max="37" width="25.5" style="33" customWidth="1"/>
    <col min="38" max="38" width="15.6640625" style="33" customWidth="1"/>
    <col min="39" max="39" width="24.33203125" style="33" customWidth="1"/>
    <col min="40" max="40" width="17.5" style="33" customWidth="1"/>
    <col min="41" max="16384" width="9.1640625" style="33"/>
  </cols>
  <sheetData>
    <row r="2" spans="1:24">
      <c r="A2" s="50" t="s">
        <v>1002</v>
      </c>
    </row>
    <row r="3" spans="1:24" ht="48.75" customHeight="1">
      <c r="A3" s="343" t="s">
        <v>1001</v>
      </c>
      <c r="B3" s="344"/>
      <c r="C3" s="344"/>
      <c r="D3" s="345"/>
      <c r="E3" s="343" t="s">
        <v>1000</v>
      </c>
      <c r="F3" s="344"/>
      <c r="G3" s="344"/>
      <c r="H3" s="345"/>
      <c r="I3" s="343" t="s">
        <v>999</v>
      </c>
      <c r="J3" s="344"/>
      <c r="K3" s="344"/>
      <c r="L3" s="345"/>
      <c r="M3" s="346" t="s">
        <v>998</v>
      </c>
      <c r="N3" s="347"/>
      <c r="O3" s="347"/>
      <c r="P3" s="348"/>
      <c r="Q3" s="346" t="s">
        <v>997</v>
      </c>
      <c r="R3" s="347"/>
      <c r="S3" s="347"/>
      <c r="T3" s="348"/>
      <c r="U3" s="340" t="s">
        <v>996</v>
      </c>
      <c r="V3" s="341"/>
      <c r="W3" s="341"/>
      <c r="X3" s="342"/>
    </row>
    <row r="4" spans="1:24" ht="76">
      <c r="A4" s="35" t="s">
        <v>993</v>
      </c>
      <c r="B4" s="47" t="s">
        <v>994</v>
      </c>
      <c r="C4" s="47" t="s">
        <v>991</v>
      </c>
      <c r="D4" s="35" t="s">
        <v>995</v>
      </c>
      <c r="E4" s="35" t="s">
        <v>993</v>
      </c>
      <c r="F4" s="47" t="s">
        <v>994</v>
      </c>
      <c r="G4" s="47" t="s">
        <v>991</v>
      </c>
      <c r="H4" s="35" t="s">
        <v>990</v>
      </c>
      <c r="I4" s="35" t="s">
        <v>993</v>
      </c>
      <c r="J4" s="47" t="s">
        <v>994</v>
      </c>
      <c r="K4" s="47" t="s">
        <v>991</v>
      </c>
      <c r="L4" s="35" t="s">
        <v>990</v>
      </c>
      <c r="M4" s="35" t="s">
        <v>993</v>
      </c>
      <c r="N4" s="47" t="s">
        <v>992</v>
      </c>
      <c r="O4" s="47" t="s">
        <v>991</v>
      </c>
      <c r="P4" s="35" t="s">
        <v>990</v>
      </c>
      <c r="Q4" s="35" t="s">
        <v>993</v>
      </c>
      <c r="R4" s="47" t="s">
        <v>992</v>
      </c>
      <c r="S4" s="47" t="s">
        <v>991</v>
      </c>
      <c r="T4" s="35" t="s">
        <v>990</v>
      </c>
      <c r="U4" s="35" t="s">
        <v>993</v>
      </c>
      <c r="V4" s="47" t="s">
        <v>992</v>
      </c>
      <c r="W4" s="47" t="s">
        <v>991</v>
      </c>
      <c r="X4" s="35" t="s">
        <v>990</v>
      </c>
    </row>
    <row r="5" spans="1:24" ht="164.25" customHeight="1">
      <c r="A5" s="37" t="s">
        <v>989</v>
      </c>
      <c r="B5" s="39">
        <v>5998</v>
      </c>
      <c r="C5" s="40">
        <v>150</v>
      </c>
      <c r="D5" s="46">
        <f>AVERAGE((B5-F5)/F5, (B5-J5)/J5, (B5-N5)/N5, (B5-R5)/R5, (B5-V5)/V5)</f>
        <v>-8.4637675859033659E-2</v>
      </c>
      <c r="E5" s="37" t="s">
        <v>988</v>
      </c>
      <c r="F5" s="39">
        <v>5802</v>
      </c>
      <c r="G5" s="40">
        <v>100</v>
      </c>
      <c r="H5" s="44">
        <f>(F5-B5)/B5*100%</f>
        <v>-3.2677559186395463E-2</v>
      </c>
      <c r="I5" s="47" t="s">
        <v>987</v>
      </c>
      <c r="J5" s="42">
        <v>8047</v>
      </c>
      <c r="K5" s="40">
        <v>150</v>
      </c>
      <c r="L5" s="41">
        <f>(J5-B5)/B5*100%</f>
        <v>0.34161387129043014</v>
      </c>
      <c r="M5" s="49" t="s">
        <v>986</v>
      </c>
      <c r="N5" s="39">
        <v>6770</v>
      </c>
      <c r="O5" s="40">
        <v>140</v>
      </c>
      <c r="P5" s="38">
        <f>(N5-B5)/B5*100%</f>
        <v>0.12870956985661888</v>
      </c>
      <c r="Q5" s="47" t="s">
        <v>985</v>
      </c>
      <c r="R5" s="39">
        <v>7103</v>
      </c>
      <c r="S5" s="35">
        <v>100</v>
      </c>
      <c r="T5" s="38">
        <f>(R5-B5)/B5*100%</f>
        <v>0.18422807602534177</v>
      </c>
      <c r="U5" s="47" t="s">
        <v>984</v>
      </c>
      <c r="V5" s="48">
        <v>5620</v>
      </c>
      <c r="W5" s="35">
        <v>100</v>
      </c>
      <c r="X5" s="34">
        <f>(V5-B5)/B5*100%</f>
        <v>-6.3021007002334109E-2</v>
      </c>
    </row>
    <row r="6" spans="1:24" ht="160.5" customHeight="1">
      <c r="A6" s="37" t="s">
        <v>983</v>
      </c>
      <c r="B6" s="39">
        <v>6791</v>
      </c>
      <c r="C6" s="45">
        <v>150</v>
      </c>
      <c r="D6" s="46">
        <f>AVERAGE((B6-F6)/F6, (B6-J6)/J6, (B6-N6)/N6, (B6-R6)/R6, (B6-V6)/V6)</f>
        <v>-4.6914241040962867E-2</v>
      </c>
      <c r="E6" s="43" t="s">
        <v>982</v>
      </c>
      <c r="F6" s="39">
        <v>5802</v>
      </c>
      <c r="G6" s="45">
        <v>100</v>
      </c>
      <c r="H6" s="44">
        <f>(F6-B6)/B6*100%</f>
        <v>-0.14563392725666324</v>
      </c>
      <c r="I6" s="47" t="s">
        <v>981</v>
      </c>
      <c r="J6" s="42">
        <v>9071</v>
      </c>
      <c r="K6" s="40">
        <v>150</v>
      </c>
      <c r="L6" s="41">
        <f>(J6-B6)/B6*100%</f>
        <v>0.33573847739655427</v>
      </c>
      <c r="M6" s="37" t="s">
        <v>980</v>
      </c>
      <c r="N6" s="39">
        <v>7310</v>
      </c>
      <c r="O6" s="40">
        <v>140</v>
      </c>
      <c r="P6" s="38">
        <f>(N6-B6)/B6*100%</f>
        <v>7.6424679723163011E-2</v>
      </c>
      <c r="Q6" s="37" t="s">
        <v>979</v>
      </c>
      <c r="R6" s="39">
        <v>7822</v>
      </c>
      <c r="S6" s="35">
        <v>100</v>
      </c>
      <c r="T6" s="38">
        <f>(R6-B6)/B6*100%</f>
        <v>0.15181858341923132</v>
      </c>
      <c r="U6" s="47" t="s">
        <v>978</v>
      </c>
      <c r="V6" s="39">
        <v>6473</v>
      </c>
      <c r="W6" s="35">
        <v>100</v>
      </c>
      <c r="X6" s="34">
        <f>(V6-B6)/B6*100%</f>
        <v>-4.6826682373729937E-2</v>
      </c>
    </row>
    <row r="7" spans="1:24" ht="132.75" customHeight="1">
      <c r="A7" s="37" t="s">
        <v>977</v>
      </c>
      <c r="B7" s="39">
        <v>8083</v>
      </c>
      <c r="C7" s="45">
        <v>150</v>
      </c>
      <c r="D7" s="46">
        <f>AVERAGE((B7-F7)/F7, (B7-J7)/J7, (B7-N7)/N7, (B7-R7)/R7, (B7-V7)/V7)</f>
        <v>-3.6507168018230216E-2</v>
      </c>
      <c r="E7" s="37" t="s">
        <v>976</v>
      </c>
      <c r="F7" s="39">
        <v>8775</v>
      </c>
      <c r="G7" s="45">
        <v>100</v>
      </c>
      <c r="H7" s="44">
        <f>(F7-B7)/B7*100%</f>
        <v>8.5611777805270323E-2</v>
      </c>
      <c r="I7" s="43" t="s">
        <v>975</v>
      </c>
      <c r="J7" s="42">
        <v>7844</v>
      </c>
      <c r="K7" s="40">
        <v>100</v>
      </c>
      <c r="L7" s="41">
        <f>(J7-B7)/B7*100%</f>
        <v>-2.9568229617716196E-2</v>
      </c>
      <c r="M7" s="37" t="s">
        <v>974</v>
      </c>
      <c r="N7" s="39">
        <v>8601</v>
      </c>
      <c r="O7" s="40">
        <v>140</v>
      </c>
      <c r="P7" s="38">
        <f>(N7-B7)/B7*100%</f>
        <v>6.408511691203761E-2</v>
      </c>
      <c r="Q7" s="37" t="s">
        <v>973</v>
      </c>
      <c r="R7" s="39">
        <v>9267</v>
      </c>
      <c r="S7" s="35">
        <v>100</v>
      </c>
      <c r="T7" s="38">
        <f>(R7-B7)/B7*100%</f>
        <v>0.14648026722751453</v>
      </c>
      <c r="U7" s="37" t="s">
        <v>972</v>
      </c>
      <c r="V7" s="36">
        <v>7670</v>
      </c>
      <c r="W7" s="35">
        <v>100</v>
      </c>
      <c r="X7" s="34">
        <f>(V7-B7)/B7*100%</f>
        <v>-5.1094890510948905E-2</v>
      </c>
    </row>
  </sheetData>
  <mergeCells count="6">
    <mergeCell ref="U3:X3"/>
    <mergeCell ref="A3:D3"/>
    <mergeCell ref="E3:H3"/>
    <mergeCell ref="I3:L3"/>
    <mergeCell ref="M3:P3"/>
    <mergeCell ref="Q3:T3"/>
  </mergeCells>
  <conditionalFormatting sqref="H5:H7 P5:P7 T5:T7 X5:X7">
    <cfRule type="cellIs" dxfId="29" priority="1" operator="lessThan">
      <formula>0</formula>
    </cfRule>
    <cfRule type="cellIs" dxfId="28" priority="2" operator="greaterThan">
      <formula>0</formula>
    </cfRule>
    <cfRule type="cellIs" dxfId="27" priority="3" operator="greaterThan">
      <formula>0</formula>
    </cfRule>
    <cfRule type="cellIs" dxfId="26" priority="4" operator="lessThan">
      <formula>0</formula>
    </cfRule>
  </conditionalFormatting>
  <pageMargins left="0.25" right="0.25" top="0.75" bottom="0.75" header="0.3" footer="0.3"/>
  <pageSetup paperSize="9" scale="51" orientation="landscape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L8"/>
  <sheetViews>
    <sheetView zoomScale="85" zoomScaleNormal="85" workbookViewId="0">
      <selection activeCell="V8" sqref="V8"/>
    </sheetView>
  </sheetViews>
  <sheetFormatPr baseColWidth="10" defaultColWidth="9.1640625" defaultRowHeight="18"/>
  <cols>
    <col min="1" max="1" width="36.83203125" style="33" customWidth="1"/>
    <col min="2" max="3" width="15.83203125" style="33" customWidth="1"/>
    <col min="4" max="4" width="33.5" style="33" customWidth="1"/>
    <col min="5" max="6" width="17.33203125" style="33" customWidth="1"/>
    <col min="7" max="7" width="24.1640625" style="33" customWidth="1"/>
    <col min="8" max="8" width="28.33203125" style="33" customWidth="1"/>
    <col min="9" max="9" width="15.5" style="33" customWidth="1"/>
    <col min="10" max="10" width="24.33203125" style="33" customWidth="1"/>
    <col min="11" max="11" width="17.5" style="33" customWidth="1"/>
    <col min="12" max="12" width="26.5" style="33" customWidth="1"/>
    <col min="13" max="13" width="16.5" style="33" customWidth="1"/>
    <col min="14" max="14" width="22.6640625" style="33" customWidth="1"/>
    <col min="15" max="16384" width="9.1640625" style="33"/>
  </cols>
  <sheetData>
    <row r="2" spans="1:12">
      <c r="A2" s="50" t="s">
        <v>1002</v>
      </c>
    </row>
    <row r="3" spans="1:12" ht="44.25" customHeight="1">
      <c r="A3" s="350" t="s">
        <v>1001</v>
      </c>
      <c r="B3" s="350"/>
      <c r="C3" s="350"/>
      <c r="D3" s="349" t="s">
        <v>1020</v>
      </c>
      <c r="E3" s="349"/>
      <c r="F3" s="349"/>
      <c r="G3" s="349" t="s">
        <v>1019</v>
      </c>
      <c r="H3" s="349"/>
      <c r="I3" s="349"/>
      <c r="J3" s="349" t="s">
        <v>1018</v>
      </c>
      <c r="K3" s="349"/>
      <c r="L3" s="349"/>
    </row>
    <row r="4" spans="1:12" ht="57">
      <c r="A4" s="35" t="s">
        <v>993</v>
      </c>
      <c r="B4" s="47" t="s">
        <v>992</v>
      </c>
      <c r="C4" s="47" t="s">
        <v>1017</v>
      </c>
      <c r="D4" s="35" t="s">
        <v>993</v>
      </c>
      <c r="E4" s="47" t="s">
        <v>992</v>
      </c>
      <c r="F4" s="47" t="s">
        <v>990</v>
      </c>
      <c r="G4" s="35" t="s">
        <v>993</v>
      </c>
      <c r="H4" s="47" t="s">
        <v>992</v>
      </c>
      <c r="I4" s="47" t="s">
        <v>990</v>
      </c>
      <c r="J4" s="35" t="s">
        <v>993</v>
      </c>
      <c r="K4" s="47" t="s">
        <v>992</v>
      </c>
      <c r="L4" s="47" t="s">
        <v>990</v>
      </c>
    </row>
    <row r="5" spans="1:12" ht="143.25" customHeight="1">
      <c r="A5" s="37" t="s">
        <v>1016</v>
      </c>
      <c r="B5" s="54">
        <v>3630</v>
      </c>
      <c r="C5" s="53">
        <f>AVERAGE((B5-E5)/E5, (B5-H5)/H5, (B5-K5)/K5)</f>
        <v>0.17714307093397388</v>
      </c>
      <c r="D5" s="37" t="s">
        <v>1015</v>
      </c>
      <c r="E5" s="39">
        <v>2924</v>
      </c>
      <c r="F5" s="51">
        <f>(E5-B5)/B5*100%</f>
        <v>-0.19449035812672177</v>
      </c>
      <c r="G5" s="43" t="s">
        <v>1014</v>
      </c>
      <c r="H5" s="39">
        <v>2666</v>
      </c>
      <c r="I5" s="51">
        <f>(H5-B5)/B5*100%</f>
        <v>-0.26556473829201099</v>
      </c>
      <c r="J5" s="43" t="s">
        <v>1013</v>
      </c>
      <c r="K5" s="39">
        <v>3910</v>
      </c>
      <c r="L5" s="51">
        <f>(K5-B5)/B5*100%</f>
        <v>7.7134986225895319E-2</v>
      </c>
    </row>
    <row r="6" spans="1:12" ht="147" customHeight="1">
      <c r="A6" s="37" t="s">
        <v>1012</v>
      </c>
      <c r="B6" s="54">
        <v>4219</v>
      </c>
      <c r="C6" s="53">
        <f>AVERAGE((B6-E6)/E6,(B6-H6)/H6)</f>
        <v>1.6380611455108357E-2</v>
      </c>
      <c r="D6" s="37" t="s">
        <v>1011</v>
      </c>
      <c r="E6" s="39">
        <v>5700</v>
      </c>
      <c r="F6" s="51">
        <f>(E6-B6)/B6*100%</f>
        <v>0.35103105001185114</v>
      </c>
      <c r="G6" s="47" t="s">
        <v>1010</v>
      </c>
      <c r="H6" s="39">
        <v>3264</v>
      </c>
      <c r="I6" s="51">
        <f>(H6-B6)/B6*100%</f>
        <v>-0.2263569566247926</v>
      </c>
      <c r="J6" s="47"/>
      <c r="K6" s="39"/>
      <c r="L6" s="55"/>
    </row>
    <row r="7" spans="1:12" ht="150" customHeight="1">
      <c r="A7" s="37" t="s">
        <v>1009</v>
      </c>
      <c r="B7" s="54">
        <v>4534</v>
      </c>
      <c r="C7" s="53">
        <f>AVERAGE((B7-H7)/H7)</f>
        <v>0.16525314829092777</v>
      </c>
      <c r="D7" s="37" t="s">
        <v>1008</v>
      </c>
      <c r="E7" s="39"/>
      <c r="F7" s="51"/>
      <c r="G7" s="47" t="s">
        <v>1007</v>
      </c>
      <c r="H7" s="39">
        <v>3891</v>
      </c>
      <c r="I7" s="51">
        <f>(H7-B7)/B7*100%</f>
        <v>-0.14181737979708867</v>
      </c>
      <c r="J7" s="47"/>
      <c r="K7" s="39"/>
      <c r="L7" s="55"/>
    </row>
    <row r="8" spans="1:12" ht="142.5" customHeight="1">
      <c r="A8" s="37" t="s">
        <v>1006</v>
      </c>
      <c r="B8" s="54">
        <v>6344</v>
      </c>
      <c r="C8" s="53">
        <f>AVERAGE((B8-E8)/E8, (B8-K8)/K8)</f>
        <v>-4.2535084992241012E-2</v>
      </c>
      <c r="D8" s="37" t="s">
        <v>1005</v>
      </c>
      <c r="E8" s="52">
        <v>5527</v>
      </c>
      <c r="F8" s="51">
        <f>(E8-B8)/B8*100%</f>
        <v>-0.12878310214375788</v>
      </c>
      <c r="G8" s="37" t="s">
        <v>1004</v>
      </c>
      <c r="H8" s="47"/>
      <c r="I8" s="51"/>
      <c r="J8" s="37" t="s">
        <v>1003</v>
      </c>
      <c r="K8" s="39">
        <v>8270</v>
      </c>
      <c r="L8" s="51">
        <f>(K8-B8)/B8*100%</f>
        <v>0.30359394703657</v>
      </c>
    </row>
  </sheetData>
  <mergeCells count="4">
    <mergeCell ref="D3:F3"/>
    <mergeCell ref="G3:I3"/>
    <mergeCell ref="A3:C3"/>
    <mergeCell ref="J3:L3"/>
  </mergeCells>
  <conditionalFormatting sqref="F5:F8 I5:I8 L5:L8">
    <cfRule type="cellIs" dxfId="25" priority="1" operator="lessThan">
      <formula>0</formula>
    </cfRule>
    <cfRule type="cellIs" dxfId="24" priority="2" operator="greaterThan">
      <formula>0</formula>
    </cfRule>
  </conditionalFormatting>
  <conditionalFormatting sqref="F5:F8 I5:I8">
    <cfRule type="cellIs" dxfId="23" priority="5" operator="lessThan">
      <formula>0</formula>
    </cfRule>
    <cfRule type="cellIs" dxfId="22" priority="6" operator="greaterThan">
      <formula>0</formula>
    </cfRule>
  </conditionalFormatting>
  <conditionalFormatting sqref="L5:L8">
    <cfRule type="cellIs" dxfId="21" priority="3" operator="lessThan">
      <formula>0</formula>
    </cfRule>
    <cfRule type="cellIs" dxfId="20" priority="4" operator="greaterThan">
      <formula>0</formula>
    </cfRule>
  </conditionalFormatting>
  <pageMargins left="0.25" right="0.25" top="0.75" bottom="0.75" header="0.3" footer="0.3"/>
  <pageSetup paperSize="9" scale="56" orientation="landscape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12"/>
  <sheetViews>
    <sheetView zoomScale="85" zoomScaleNormal="85" workbookViewId="0">
      <selection activeCell="V8" sqref="V8"/>
    </sheetView>
  </sheetViews>
  <sheetFormatPr baseColWidth="10" defaultColWidth="9.1640625" defaultRowHeight="18"/>
  <cols>
    <col min="1" max="1" width="26.1640625" style="33" customWidth="1"/>
    <col min="2" max="3" width="17.5" style="33" customWidth="1"/>
    <col min="4" max="4" width="22.83203125" style="33" customWidth="1"/>
    <col min="5" max="5" width="17.5" style="33" customWidth="1"/>
    <col min="6" max="6" width="26.1640625" style="33" customWidth="1"/>
    <col min="7" max="7" width="23.6640625" style="33" customWidth="1"/>
    <col min="8" max="8" width="25.5" style="33" customWidth="1"/>
    <col min="9" max="9" width="15.5" style="33" customWidth="1"/>
    <col min="10" max="10" width="25.5" style="33" customWidth="1"/>
    <col min="11" max="11" width="14.83203125" style="33" customWidth="1"/>
    <col min="12" max="12" width="17.5" style="33" customWidth="1"/>
    <col min="13" max="13" width="26.5" style="33" customWidth="1"/>
    <col min="14" max="14" width="16.5" style="33" customWidth="1"/>
    <col min="15" max="15" width="28" style="33" customWidth="1"/>
    <col min="16" max="16384" width="9.1640625" style="33"/>
  </cols>
  <sheetData>
    <row r="1" spans="1:12" ht="42" customHeight="1">
      <c r="A1" s="343" t="s">
        <v>1001</v>
      </c>
      <c r="B1" s="344"/>
      <c r="C1" s="345"/>
      <c r="D1" s="350" t="s">
        <v>1039</v>
      </c>
      <c r="E1" s="350"/>
      <c r="F1" s="350"/>
      <c r="G1" s="349" t="s">
        <v>1038</v>
      </c>
      <c r="H1" s="349"/>
      <c r="I1" s="349"/>
      <c r="J1" s="349" t="s">
        <v>1037</v>
      </c>
      <c r="K1" s="349"/>
      <c r="L1" s="349"/>
    </row>
    <row r="2" spans="1:12" ht="55.5" customHeight="1">
      <c r="A2" s="35" t="s">
        <v>993</v>
      </c>
      <c r="B2" s="47" t="s">
        <v>992</v>
      </c>
      <c r="C2" s="47" t="s">
        <v>995</v>
      </c>
      <c r="D2" s="35" t="s">
        <v>993</v>
      </c>
      <c r="E2" s="47" t="s">
        <v>992</v>
      </c>
      <c r="F2" s="35" t="s">
        <v>990</v>
      </c>
      <c r="G2" s="35" t="s">
        <v>993</v>
      </c>
      <c r="H2" s="47" t="s">
        <v>992</v>
      </c>
      <c r="I2" s="35" t="s">
        <v>990</v>
      </c>
      <c r="J2" s="35" t="s">
        <v>993</v>
      </c>
      <c r="K2" s="47" t="s">
        <v>992</v>
      </c>
      <c r="L2" s="35" t="s">
        <v>990</v>
      </c>
    </row>
    <row r="3" spans="1:12" ht="112.5" customHeight="1">
      <c r="A3" s="37" t="s">
        <v>1036</v>
      </c>
      <c r="B3" s="39">
        <v>1195</v>
      </c>
      <c r="C3" s="58">
        <f>AVERAGE((B3-E3)/E3, (B3-H3)/H3, (B3-K3)/K3)</f>
        <v>-0.37675409032504364</v>
      </c>
      <c r="D3" s="43" t="s">
        <v>1035</v>
      </c>
      <c r="E3" s="47">
        <v>1235</v>
      </c>
      <c r="F3" s="57">
        <f>(E3-B3)/B3*100%</f>
        <v>3.3472803347280332E-2</v>
      </c>
      <c r="G3" s="37" t="s">
        <v>1034</v>
      </c>
      <c r="H3" s="37">
        <v>2356</v>
      </c>
      <c r="I3" s="57">
        <f>(H3-B3)/B3*100%</f>
        <v>0.97154811715481171</v>
      </c>
      <c r="J3" s="43" t="s">
        <v>1033</v>
      </c>
      <c r="K3" s="47">
        <v>3026</v>
      </c>
      <c r="L3" s="57">
        <f>(K3-B3)/B3*100%</f>
        <v>1.5322175732217573</v>
      </c>
    </row>
    <row r="4" spans="1:12" ht="113.25" customHeight="1">
      <c r="A4" s="37" t="s">
        <v>1032</v>
      </c>
      <c r="B4" s="39">
        <v>2308</v>
      </c>
      <c r="C4" s="58">
        <f>AVERAGE((B4-E4)/E4, (B4-H4)/H4, (B4-K4)/K4)</f>
        <v>-9.6462941862797483E-2</v>
      </c>
      <c r="D4" s="43" t="s">
        <v>1031</v>
      </c>
      <c r="E4" s="47">
        <v>1835</v>
      </c>
      <c r="F4" s="57">
        <f>(E4-B4)/B4*100%</f>
        <v>-0.20493934142114384</v>
      </c>
      <c r="G4" s="37" t="s">
        <v>1030</v>
      </c>
      <c r="H4" s="47">
        <v>3037</v>
      </c>
      <c r="I4" s="57">
        <f>(H4-B4)/B4*100%</f>
        <v>0.3158578856152513</v>
      </c>
      <c r="J4" s="43" t="s">
        <v>1029</v>
      </c>
      <c r="K4" s="47">
        <v>3331</v>
      </c>
      <c r="L4" s="57">
        <f>(K4-B4)/B4*100%</f>
        <v>0.44324090121317156</v>
      </c>
    </row>
    <row r="5" spans="1:12" ht="104.25" customHeight="1">
      <c r="A5" s="37" t="s">
        <v>1028</v>
      </c>
      <c r="B5" s="39">
        <v>2679</v>
      </c>
      <c r="C5" s="58">
        <f>AVERAGE((B5-E5)/E5, (B5-H5)/H5, (B5-K5)/K5)</f>
        <v>-0.21703964678201396</v>
      </c>
      <c r="D5" s="43" t="s">
        <v>1027</v>
      </c>
      <c r="E5" s="47">
        <v>2618</v>
      </c>
      <c r="F5" s="57">
        <f>(E5-B5)/B5*100%</f>
        <v>-2.2769690182904069E-2</v>
      </c>
      <c r="G5" s="37" t="s">
        <v>1026</v>
      </c>
      <c r="H5" s="47">
        <v>3765</v>
      </c>
      <c r="I5" s="57">
        <f>(H5-B5)/B5*100%</f>
        <v>0.4053751399776036</v>
      </c>
      <c r="J5" s="37" t="s">
        <v>1025</v>
      </c>
      <c r="K5" s="47">
        <v>4363</v>
      </c>
      <c r="L5" s="57">
        <f>(K5-B5)/B5*100%</f>
        <v>0.6285927584919746</v>
      </c>
    </row>
    <row r="6" spans="1:12" ht="105.75" customHeight="1">
      <c r="A6" s="37" t="s">
        <v>1024</v>
      </c>
      <c r="B6" s="39">
        <v>4158</v>
      </c>
      <c r="C6" s="58">
        <f>AVERAGE((B6-E6)/E6, (B6-H6)/H6, (B6-K6)/K6)</f>
        <v>-0.19360876576293798</v>
      </c>
      <c r="D6" s="43" t="s">
        <v>1023</v>
      </c>
      <c r="E6" s="47">
        <v>4042</v>
      </c>
      <c r="F6" s="57">
        <f>(E6-B6)/B6*100%</f>
        <v>-2.7898027898027897E-2</v>
      </c>
      <c r="G6" s="37" t="s">
        <v>1022</v>
      </c>
      <c r="H6" s="37">
        <v>5800</v>
      </c>
      <c r="I6" s="57">
        <f>(H6-B6)/B6*100%</f>
        <v>0.39490139490139492</v>
      </c>
      <c r="J6" s="37" t="s">
        <v>1021</v>
      </c>
      <c r="K6" s="39">
        <v>6173</v>
      </c>
      <c r="L6" s="57">
        <f>(K6-B6)/B6*100%</f>
        <v>0.4846079846079846</v>
      </c>
    </row>
    <row r="7" spans="1:12" ht="88.5" customHeight="1"/>
    <row r="8" spans="1:12" ht="111.75" customHeight="1"/>
    <row r="12" spans="1:12" ht="112.5" customHeight="1"/>
  </sheetData>
  <mergeCells count="4">
    <mergeCell ref="D1:F1"/>
    <mergeCell ref="G1:I1"/>
    <mergeCell ref="J1:L1"/>
    <mergeCell ref="A1:C1"/>
  </mergeCells>
  <conditionalFormatting sqref="F3:F6 I3:I6 L3:L6">
    <cfRule type="cellIs" dxfId="19" priority="1" operator="lessThan">
      <formula>0</formula>
    </cfRule>
    <cfRule type="cellIs" dxfId="18" priority="2" operator="greaterThan">
      <formula>0</formula>
    </cfRule>
  </conditionalFormatting>
  <conditionalFormatting sqref="F3:F6 L3:L6">
    <cfRule type="cellIs" dxfId="17" priority="8" operator="greaterThan">
      <formula>0</formula>
    </cfRule>
    <cfRule type="cellIs" dxfId="16" priority="6" operator="lessThan">
      <formula>0</formula>
    </cfRule>
    <cfRule type="cellIs" dxfId="15" priority="7" operator="greaterThan">
      <formula>0</formula>
    </cfRule>
  </conditionalFormatting>
  <conditionalFormatting sqref="I3:I6">
    <cfRule type="cellIs" dxfId="14" priority="4" operator="greaterThan">
      <formula>0</formula>
    </cfRule>
    <cfRule type="cellIs" dxfId="13" priority="3" operator="lessThan">
      <formula>0</formula>
    </cfRule>
    <cfRule type="cellIs" dxfId="12" priority="5" operator="greaterThan">
      <formula>0</formula>
    </cfRule>
  </conditionalFormatting>
  <pageMargins left="0.25" right="0.25" top="0.75" bottom="0.75" header="0.3" footer="0.3"/>
  <pageSetup paperSize="9" scale="41" orientation="landscape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L16"/>
  <sheetViews>
    <sheetView zoomScale="85" zoomScaleNormal="85" workbookViewId="0">
      <selection activeCell="V8" sqref="V8"/>
    </sheetView>
  </sheetViews>
  <sheetFormatPr baseColWidth="10" defaultColWidth="9.1640625" defaultRowHeight="18"/>
  <cols>
    <col min="1" max="1" width="26.1640625" style="33" customWidth="1"/>
    <col min="2" max="3" width="17.5" style="33" customWidth="1"/>
    <col min="4" max="4" width="29.5" style="33" customWidth="1"/>
    <col min="5" max="6" width="17.33203125" style="33" customWidth="1"/>
    <col min="7" max="7" width="25.33203125" style="33" customWidth="1"/>
    <col min="8" max="8" width="22.5" style="33" customWidth="1"/>
    <col min="9" max="9" width="20.33203125" style="33" customWidth="1"/>
    <col min="10" max="10" width="28.1640625" style="33" customWidth="1"/>
    <col min="11" max="11" width="15.6640625" style="33" customWidth="1"/>
    <col min="12" max="12" width="24.33203125" style="33" customWidth="1"/>
    <col min="13" max="16384" width="9.1640625" style="33"/>
  </cols>
  <sheetData>
    <row r="2" spans="1:12">
      <c r="A2" s="50" t="s">
        <v>1002</v>
      </c>
    </row>
    <row r="3" spans="1:12">
      <c r="A3" s="343" t="s">
        <v>1001</v>
      </c>
      <c r="B3" s="344"/>
      <c r="C3" s="345"/>
      <c r="D3" s="346"/>
      <c r="E3" s="347"/>
      <c r="F3" s="347"/>
      <c r="G3" s="347" t="s">
        <v>1049</v>
      </c>
      <c r="H3" s="347"/>
      <c r="I3" s="348"/>
      <c r="J3" s="346" t="s">
        <v>1048</v>
      </c>
      <c r="K3" s="347"/>
      <c r="L3" s="347"/>
    </row>
    <row r="4" spans="1:12" ht="57">
      <c r="A4" s="35" t="s">
        <v>993</v>
      </c>
      <c r="B4" s="47" t="s">
        <v>992</v>
      </c>
      <c r="C4" s="47" t="s">
        <v>995</v>
      </c>
      <c r="D4" s="35" t="s">
        <v>993</v>
      </c>
      <c r="E4" s="47" t="s">
        <v>992</v>
      </c>
      <c r="F4" s="47" t="s">
        <v>990</v>
      </c>
      <c r="G4" s="35" t="s">
        <v>993</v>
      </c>
      <c r="H4" s="47" t="s">
        <v>992</v>
      </c>
      <c r="I4" s="47" t="s">
        <v>990</v>
      </c>
      <c r="J4" s="35" t="s">
        <v>993</v>
      </c>
      <c r="K4" s="47" t="s">
        <v>992</v>
      </c>
      <c r="L4" s="35" t="s">
        <v>990</v>
      </c>
    </row>
    <row r="5" spans="1:12" ht="151.5" customHeight="1">
      <c r="A5" s="47" t="s">
        <v>1047</v>
      </c>
      <c r="B5" s="54">
        <v>7544</v>
      </c>
      <c r="C5" s="58">
        <f>AVERAGE((B5-E5)/E5, (B5-H5)/H5, (B5-K5)/K5)</f>
        <v>-0.18128652700897174</v>
      </c>
      <c r="D5" s="49" t="s">
        <v>1046</v>
      </c>
      <c r="E5" s="39">
        <v>7504</v>
      </c>
      <c r="F5" s="51">
        <f>(E5-B5)/B5*100%</f>
        <v>-5.3022269353128317E-3</v>
      </c>
      <c r="G5" s="43" t="s">
        <v>1045</v>
      </c>
      <c r="H5" s="39">
        <v>14523</v>
      </c>
      <c r="I5" s="51">
        <f>(H5-B5)/B5*100%</f>
        <v>0.92510604453870626</v>
      </c>
      <c r="J5" s="49" t="s">
        <v>1044</v>
      </c>
      <c r="K5" s="42">
        <v>8100</v>
      </c>
      <c r="L5" s="59">
        <f>(K5-B5)/B5*100%</f>
        <v>7.3700954400848354E-2</v>
      </c>
    </row>
    <row r="6" spans="1:12" ht="165.75" customHeight="1">
      <c r="A6" s="47" t="s">
        <v>1043</v>
      </c>
      <c r="B6" s="54">
        <v>7818</v>
      </c>
      <c r="C6" s="58">
        <f>AVERAGE((B6-E6)/E6, (B6-H6)/H6, (B6-K6)/K6)</f>
        <v>-0.19665879189335722</v>
      </c>
      <c r="D6" s="43" t="s">
        <v>1042</v>
      </c>
      <c r="E6" s="39">
        <v>8052</v>
      </c>
      <c r="F6" s="51">
        <f>(E6-B6)/B6*100%</f>
        <v>2.9930928626247123E-2</v>
      </c>
      <c r="G6" s="43" t="s">
        <v>1041</v>
      </c>
      <c r="H6" s="39">
        <v>14783</v>
      </c>
      <c r="I6" s="51">
        <f>(H6-B6)/B6*100%</f>
        <v>0.89089281146073163</v>
      </c>
      <c r="J6" s="43" t="s">
        <v>1040</v>
      </c>
      <c r="K6" s="42">
        <v>8589</v>
      </c>
      <c r="L6" s="59">
        <f>(K6-B6)/B6*100%</f>
        <v>9.8618572524942438E-2</v>
      </c>
    </row>
    <row r="7" spans="1:12" ht="110.25" customHeight="1"/>
    <row r="9" spans="1:12" ht="114" customHeight="1"/>
    <row r="11" spans="1:12" ht="105" customHeight="1"/>
    <row r="15" spans="1:12" ht="139.5" customHeight="1"/>
    <row r="16" spans="1:12" ht="75.75" customHeight="1"/>
  </sheetData>
  <mergeCells count="4">
    <mergeCell ref="D3:F3"/>
    <mergeCell ref="J3:L3"/>
    <mergeCell ref="G3:I3"/>
    <mergeCell ref="A3:C3"/>
  </mergeCells>
  <conditionalFormatting sqref="F5:F6 I5:I6 L5:L6">
    <cfRule type="cellIs" dxfId="11" priority="1" operator="lessThan">
      <formula>0</formula>
    </cfRule>
    <cfRule type="cellIs" dxfId="10" priority="2" operator="greaterThan">
      <formula>0</formula>
    </cfRule>
    <cfRule type="cellIs" dxfId="9" priority="3" operator="lessThan">
      <formula>0</formula>
    </cfRule>
    <cfRule type="cellIs" dxfId="8" priority="4" operator="greaterThan">
      <formula>0</formula>
    </cfRule>
  </conditionalFormatting>
  <pageMargins left="0.25" right="0.25" top="0.75" bottom="0.75" header="0.3" footer="0.3"/>
  <pageSetup paperSize="9" scale="37" orientation="landscape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L11"/>
  <sheetViews>
    <sheetView zoomScale="85" zoomScaleNormal="85" workbookViewId="0">
      <selection activeCell="V8" sqref="V8"/>
    </sheetView>
  </sheetViews>
  <sheetFormatPr baseColWidth="10" defaultColWidth="9.1640625" defaultRowHeight="18"/>
  <cols>
    <col min="1" max="1" width="26.1640625" style="33" customWidth="1"/>
    <col min="2" max="3" width="22.1640625" style="33" customWidth="1"/>
    <col min="4" max="4" width="27.1640625" style="33" customWidth="1"/>
    <col min="5" max="6" width="15" style="33" customWidth="1"/>
    <col min="7" max="7" width="23.5" style="33" customWidth="1"/>
    <col min="8" max="8" width="25.33203125" style="33" customWidth="1"/>
    <col min="9" max="9" width="14.5" style="33" customWidth="1"/>
    <col min="10" max="10" width="24.83203125" style="33" customWidth="1"/>
    <col min="11" max="12" width="16" style="33" customWidth="1"/>
    <col min="13" max="13" width="23" style="33" customWidth="1"/>
    <col min="14" max="14" width="14.6640625" style="33" customWidth="1"/>
    <col min="15" max="15" width="14.33203125" style="33" customWidth="1"/>
    <col min="16" max="16384" width="9.1640625" style="33"/>
  </cols>
  <sheetData>
    <row r="2" spans="1:12">
      <c r="A2" s="50" t="s">
        <v>1002</v>
      </c>
    </row>
    <row r="3" spans="1:12" ht="52.5" customHeight="1">
      <c r="A3" s="343" t="s">
        <v>1001</v>
      </c>
      <c r="B3" s="344"/>
      <c r="C3" s="345"/>
      <c r="D3" s="349" t="s">
        <v>1056</v>
      </c>
      <c r="E3" s="349"/>
      <c r="F3" s="349"/>
      <c r="G3" s="349" t="s">
        <v>1055</v>
      </c>
      <c r="H3" s="349"/>
      <c r="I3" s="349"/>
      <c r="J3" s="349" t="s">
        <v>1054</v>
      </c>
      <c r="K3" s="349"/>
      <c r="L3" s="349"/>
    </row>
    <row r="4" spans="1:12" ht="57">
      <c r="A4" s="35" t="s">
        <v>993</v>
      </c>
      <c r="B4" s="47" t="s">
        <v>992</v>
      </c>
      <c r="C4" s="47" t="s">
        <v>995</v>
      </c>
      <c r="D4" s="35" t="s">
        <v>993</v>
      </c>
      <c r="E4" s="47" t="s">
        <v>992</v>
      </c>
      <c r="F4" s="47" t="s">
        <v>990</v>
      </c>
      <c r="G4" s="35" t="s">
        <v>993</v>
      </c>
      <c r="H4" s="47" t="s">
        <v>992</v>
      </c>
      <c r="I4" s="47" t="s">
        <v>990</v>
      </c>
      <c r="J4" s="35" t="s">
        <v>993</v>
      </c>
      <c r="K4" s="47" t="s">
        <v>992</v>
      </c>
      <c r="L4" s="47" t="s">
        <v>990</v>
      </c>
    </row>
    <row r="5" spans="1:12" ht="114">
      <c r="A5" s="37" t="s">
        <v>1053</v>
      </c>
      <c r="B5" s="42">
        <v>2079</v>
      </c>
      <c r="C5" s="53">
        <f>AVERAGE((B5-E5)/E5,(B5-H5)/H5,(B5-K5)/K5)</f>
        <v>-2.7136865160216243E-2</v>
      </c>
      <c r="D5" s="43" t="s">
        <v>1052</v>
      </c>
      <c r="E5" s="39">
        <v>1696</v>
      </c>
      <c r="F5" s="62">
        <f>(E5-B5)/B5*100%</f>
        <v>-0.18422318422318423</v>
      </c>
      <c r="G5" s="43" t="s">
        <v>1051</v>
      </c>
      <c r="H5" s="39">
        <v>3035</v>
      </c>
      <c r="I5" s="61">
        <f>(H5-B5)/B5*100%</f>
        <v>0.45983645983645982</v>
      </c>
      <c r="J5" s="43" t="s">
        <v>1050</v>
      </c>
      <c r="K5" s="39">
        <v>2063</v>
      </c>
      <c r="L5" s="60">
        <f>(K5-B5)/B5*100%</f>
        <v>-7.6960076960076963E-3</v>
      </c>
    </row>
    <row r="6" spans="1:12" ht="147.75" customHeight="1"/>
    <row r="11" spans="1:12" ht="69.75" customHeight="1"/>
  </sheetData>
  <mergeCells count="4">
    <mergeCell ref="G3:I3"/>
    <mergeCell ref="D3:F3"/>
    <mergeCell ref="J3:L3"/>
    <mergeCell ref="A3:C3"/>
  </mergeCells>
  <conditionalFormatting sqref="F5 I5 L5">
    <cfRule type="cellIs" dxfId="7" priority="1" operator="lessThan">
      <formula>0</formula>
    </cfRule>
    <cfRule type="cellIs" dxfId="6" priority="2" operator="greaterThan">
      <formula>0</formula>
    </cfRule>
    <cfRule type="cellIs" dxfId="5" priority="3" operator="lessThan">
      <formula>0</formula>
    </cfRule>
    <cfRule type="cellIs" dxfId="4" priority="4" operator="greaterThan">
      <formula>0</formula>
    </cfRule>
  </conditionalFormatting>
  <pageMargins left="0.25" right="0.25" top="0.75" bottom="0.75" header="0.3" footer="0.3"/>
  <pageSetup paperSize="9" scale="49" orientation="landscape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L14"/>
  <sheetViews>
    <sheetView zoomScale="85" zoomScaleNormal="85" workbookViewId="0">
      <selection activeCell="V8" sqref="V8"/>
    </sheetView>
  </sheetViews>
  <sheetFormatPr baseColWidth="10" defaultColWidth="9.1640625" defaultRowHeight="18"/>
  <cols>
    <col min="1" max="1" width="26.1640625" style="33" customWidth="1"/>
    <col min="2" max="3" width="17.5" style="33" customWidth="1"/>
    <col min="4" max="4" width="29.5" style="33" customWidth="1"/>
    <col min="5" max="6" width="17.33203125" style="33" customWidth="1"/>
    <col min="7" max="7" width="28.1640625" style="33" customWidth="1"/>
    <col min="8" max="8" width="18.5" style="33" customWidth="1"/>
    <col min="9" max="9" width="22.5" style="33" customWidth="1"/>
    <col min="10" max="10" width="24.83203125" style="33" customWidth="1"/>
    <col min="11" max="11" width="24.33203125" style="33" customWidth="1"/>
    <col min="12" max="12" width="17.5" style="33" customWidth="1"/>
    <col min="13" max="13" width="26.5" style="33" customWidth="1"/>
    <col min="14" max="14" width="16.5" style="33" customWidth="1"/>
    <col min="15" max="15" width="13.83203125" style="33" customWidth="1"/>
    <col min="16" max="16384" width="9.1640625" style="33"/>
  </cols>
  <sheetData>
    <row r="2" spans="1:12">
      <c r="A2" s="50" t="s">
        <v>1002</v>
      </c>
    </row>
    <row r="3" spans="1:12" ht="18" customHeight="1">
      <c r="A3" s="343" t="s">
        <v>1001</v>
      </c>
      <c r="B3" s="344"/>
      <c r="C3" s="345"/>
      <c r="D3" s="346" t="s">
        <v>1093</v>
      </c>
      <c r="E3" s="347"/>
      <c r="F3" s="348"/>
      <c r="G3" s="346" t="s">
        <v>1092</v>
      </c>
      <c r="H3" s="347"/>
      <c r="I3" s="348"/>
      <c r="J3" s="346" t="s">
        <v>1091</v>
      </c>
      <c r="K3" s="347"/>
      <c r="L3" s="348"/>
    </row>
    <row r="4" spans="1:12" ht="57">
      <c r="A4" s="35" t="s">
        <v>993</v>
      </c>
      <c r="B4" s="47" t="s">
        <v>992</v>
      </c>
      <c r="C4" s="47" t="s">
        <v>995</v>
      </c>
      <c r="D4" s="35" t="s">
        <v>993</v>
      </c>
      <c r="E4" s="47" t="s">
        <v>992</v>
      </c>
      <c r="F4" s="47" t="s">
        <v>990</v>
      </c>
      <c r="G4" s="35" t="s">
        <v>993</v>
      </c>
      <c r="H4" s="47" t="s">
        <v>992</v>
      </c>
      <c r="I4" s="47" t="s">
        <v>990</v>
      </c>
      <c r="J4" s="35" t="s">
        <v>993</v>
      </c>
      <c r="K4" s="47" t="s">
        <v>992</v>
      </c>
      <c r="L4" s="35" t="s">
        <v>990</v>
      </c>
    </row>
    <row r="5" spans="1:12" ht="142.5" customHeight="1">
      <c r="A5" s="37" t="s">
        <v>1090</v>
      </c>
      <c r="B5" s="65">
        <v>4100</v>
      </c>
      <c r="C5" s="58">
        <f>AVERAGE((B5-E5)/E5,(B5-H5)/H5,(B5-K5)/K5)</f>
        <v>-0.17038430931468618</v>
      </c>
      <c r="D5" s="43" t="s">
        <v>1089</v>
      </c>
      <c r="E5" s="35">
        <v>4545</v>
      </c>
      <c r="F5" s="61">
        <f t="shared" ref="F5:F14" si="0">(E5-B5)/B5*100%</f>
        <v>0.10853658536585366</v>
      </c>
      <c r="G5" s="47" t="s">
        <v>1088</v>
      </c>
      <c r="H5" s="71">
        <v>6234</v>
      </c>
      <c r="I5" s="67">
        <f>(H5-B5)/B5*100%</f>
        <v>0.5204878048780488</v>
      </c>
      <c r="J5" s="37" t="s">
        <v>1087</v>
      </c>
      <c r="K5" s="39">
        <v>4413</v>
      </c>
      <c r="L5" s="61">
        <f>(K5-B5)/B5*100%</f>
        <v>7.6341463414634145E-2</v>
      </c>
    </row>
    <row r="6" spans="1:12" ht="133.5" customHeight="1">
      <c r="A6" s="37" t="s">
        <v>1086</v>
      </c>
      <c r="B6" s="65">
        <v>5800</v>
      </c>
      <c r="C6" s="58">
        <f>AVERAGE((B6-E6)/E6,(B6-H6)/H6,(B6-K6)/K6)</f>
        <v>-0.17114417689062186</v>
      </c>
      <c r="D6" s="43" t="s">
        <v>1085</v>
      </c>
      <c r="E6" s="35">
        <v>6928</v>
      </c>
      <c r="F6" s="61">
        <f t="shared" si="0"/>
        <v>0.19448275862068964</v>
      </c>
      <c r="G6" s="47" t="s">
        <v>1084</v>
      </c>
      <c r="H6" s="47">
        <v>8859</v>
      </c>
      <c r="I6" s="67">
        <f>(H6-B6)/B6*100%</f>
        <v>0.52741379310344827</v>
      </c>
      <c r="J6" s="37" t="s">
        <v>1083</v>
      </c>
      <c r="K6" s="39">
        <v>5831</v>
      </c>
      <c r="L6" s="61">
        <f>(K6-B6)/B6*100%</f>
        <v>5.3448275862068963E-3</v>
      </c>
    </row>
    <row r="7" spans="1:12" ht="140.25" customHeight="1">
      <c r="A7" s="37" t="s">
        <v>1082</v>
      </c>
      <c r="B7" s="65">
        <v>5600</v>
      </c>
      <c r="C7" s="58">
        <f>AVERAGE((B7-E7)/E7)</f>
        <v>-0.29710053972637129</v>
      </c>
      <c r="D7" s="37" t="s">
        <v>1081</v>
      </c>
      <c r="E7" s="47">
        <v>7967</v>
      </c>
      <c r="F7" s="61">
        <f t="shared" si="0"/>
        <v>0.4226785714285714</v>
      </c>
      <c r="G7" s="37"/>
      <c r="H7" s="70"/>
      <c r="I7" s="69"/>
      <c r="J7" s="47"/>
      <c r="K7" s="56"/>
      <c r="L7" s="68"/>
    </row>
    <row r="8" spans="1:12" ht="76">
      <c r="A8" s="37" t="s">
        <v>1080</v>
      </c>
      <c r="B8" s="65">
        <v>7700</v>
      </c>
      <c r="C8" s="58">
        <f>AVERAGE((B8-E8)/E8)</f>
        <v>-2.6548672566371681E-2</v>
      </c>
      <c r="D8" s="47" t="s">
        <v>1079</v>
      </c>
      <c r="E8" s="35">
        <v>7910</v>
      </c>
      <c r="F8" s="61">
        <f t="shared" si="0"/>
        <v>2.7272727272727271E-2</v>
      </c>
      <c r="G8" s="47"/>
      <c r="H8" s="70"/>
      <c r="I8" s="69"/>
      <c r="J8" s="37"/>
      <c r="K8" s="47"/>
      <c r="L8" s="68"/>
    </row>
    <row r="9" spans="1:12" ht="114" customHeight="1">
      <c r="A9" s="37" t="s">
        <v>1078</v>
      </c>
      <c r="B9" s="65">
        <v>5100</v>
      </c>
      <c r="C9" s="58">
        <f>AVERAGE((B9-E9)/E9,(B9-H9)/H9,(B9-K9)/K9)</f>
        <v>-0.14865873858414588</v>
      </c>
      <c r="D9" s="37" t="s">
        <v>1077</v>
      </c>
      <c r="E9" s="39">
        <v>5474</v>
      </c>
      <c r="F9" s="61">
        <f t="shared" si="0"/>
        <v>7.3333333333333334E-2</v>
      </c>
      <c r="G9" s="47" t="s">
        <v>1076</v>
      </c>
      <c r="H9" s="45">
        <v>7975</v>
      </c>
      <c r="I9" s="67">
        <f>(H9-B9)/B9*100%</f>
        <v>0.56372549019607843</v>
      </c>
      <c r="J9" s="47" t="s">
        <v>1075</v>
      </c>
      <c r="K9" s="47">
        <v>5189</v>
      </c>
      <c r="L9" s="61">
        <f>(K9-B9)/B9*100%</f>
        <v>1.7450980392156864E-2</v>
      </c>
    </row>
    <row r="10" spans="1:12" ht="114">
      <c r="A10" s="37" t="s">
        <v>1074</v>
      </c>
      <c r="B10" s="65">
        <v>6600</v>
      </c>
      <c r="C10" s="58">
        <f>AVERAGE((B10-E10)/E10,(B10-H10)/H10)</f>
        <v>-0.31242686508972661</v>
      </c>
      <c r="D10" s="37" t="s">
        <v>1073</v>
      </c>
      <c r="E10" s="43">
        <v>8336</v>
      </c>
      <c r="F10" s="61">
        <f t="shared" si="0"/>
        <v>0.263030303030303</v>
      </c>
      <c r="G10" s="37" t="s">
        <v>1072</v>
      </c>
      <c r="H10" s="37">
        <v>11313</v>
      </c>
      <c r="I10" s="67">
        <f>(H10-B10)/B10*100%</f>
        <v>0.71409090909090911</v>
      </c>
      <c r="J10" s="47" t="s">
        <v>1071</v>
      </c>
      <c r="K10" s="47"/>
      <c r="L10" s="68"/>
    </row>
    <row r="11" spans="1:12" ht="123.75" customHeight="1">
      <c r="A11" s="37" t="s">
        <v>1070</v>
      </c>
      <c r="B11" s="65">
        <v>6400</v>
      </c>
      <c r="C11" s="58">
        <f>AVERAGE((B11-E11)/E11,(B11-H11)/H11,(B11-K11)/K11)</f>
        <v>-0.34955592367837313</v>
      </c>
      <c r="D11" s="37" t="s">
        <v>1069</v>
      </c>
      <c r="E11" s="35">
        <v>7459</v>
      </c>
      <c r="F11" s="61">
        <f t="shared" si="0"/>
        <v>0.16546875</v>
      </c>
      <c r="G11" s="37" t="s">
        <v>1068</v>
      </c>
      <c r="H11" s="37">
        <v>16125</v>
      </c>
      <c r="I11" s="67">
        <f>(H11-B11)/B11*100%</f>
        <v>1.51953125</v>
      </c>
      <c r="J11" s="47" t="s">
        <v>1067</v>
      </c>
      <c r="K11" s="39">
        <v>9190</v>
      </c>
      <c r="L11" s="61">
        <f>(K11-B11)/B11*100%</f>
        <v>0.43593749999999998</v>
      </c>
    </row>
    <row r="12" spans="1:12" ht="95">
      <c r="A12" s="37" t="s">
        <v>1066</v>
      </c>
      <c r="B12" s="65">
        <v>8200</v>
      </c>
      <c r="C12" s="58">
        <f>AVERAGE((B12-E12)/E12,(B12-H12)/H12,(B12-K12)/K12)</f>
        <v>-0.27102334791326538</v>
      </c>
      <c r="D12" s="47" t="s">
        <v>1065</v>
      </c>
      <c r="E12" s="35">
        <v>9255</v>
      </c>
      <c r="F12" s="61">
        <f t="shared" si="0"/>
        <v>0.12865853658536586</v>
      </c>
      <c r="G12" s="47" t="s">
        <v>1064</v>
      </c>
      <c r="H12" s="47">
        <v>14509</v>
      </c>
      <c r="I12" s="67">
        <f>(H12-B12)/B12*100%</f>
        <v>0.76939024390243904</v>
      </c>
      <c r="J12" s="37" t="s">
        <v>1063</v>
      </c>
      <c r="K12" s="39">
        <v>11145</v>
      </c>
      <c r="L12" s="61">
        <f>(K12-B12)/B12*100%</f>
        <v>0.35914634146341462</v>
      </c>
    </row>
    <row r="13" spans="1:12" ht="76">
      <c r="A13" s="37" t="s">
        <v>1062</v>
      </c>
      <c r="B13" s="65">
        <v>8300</v>
      </c>
      <c r="C13" s="58">
        <f>AVERAGE((B13-E13)/E13,(B13-K13)/K13)</f>
        <v>-8.6493870086935182E-2</v>
      </c>
      <c r="D13" s="49" t="s">
        <v>1061</v>
      </c>
      <c r="E13" s="52">
        <v>9923</v>
      </c>
      <c r="F13" s="61">
        <f t="shared" si="0"/>
        <v>0.19554216867469879</v>
      </c>
      <c r="G13" s="47"/>
      <c r="H13" s="66"/>
      <c r="I13" s="63"/>
      <c r="J13" s="47" t="s">
        <v>1060</v>
      </c>
      <c r="K13" s="39">
        <v>8379</v>
      </c>
      <c r="L13" s="61">
        <f>(K13-B13)/B13*100%</f>
        <v>9.5180722891566264E-3</v>
      </c>
    </row>
    <row r="14" spans="1:12" ht="163.5" customHeight="1">
      <c r="A14" s="37" t="s">
        <v>1059</v>
      </c>
      <c r="B14" s="65">
        <v>9900</v>
      </c>
      <c r="C14" s="58">
        <f>AVERAGE((B14-E14)/E14,(B14-K14)/K14)</f>
        <v>-0.1726543343790333</v>
      </c>
      <c r="D14" s="37" t="s">
        <v>1058</v>
      </c>
      <c r="E14" s="39">
        <v>10497</v>
      </c>
      <c r="F14" s="61">
        <f t="shared" si="0"/>
        <v>6.0303030303030303E-2</v>
      </c>
      <c r="G14" s="37"/>
      <c r="H14" s="64"/>
      <c r="I14" s="63"/>
      <c r="J14" s="47" t="s">
        <v>1057</v>
      </c>
      <c r="K14" s="39">
        <v>13913</v>
      </c>
      <c r="L14" s="61">
        <f>(K14-B14)/B14*100%</f>
        <v>0.40535353535353535</v>
      </c>
    </row>
  </sheetData>
  <mergeCells count="4">
    <mergeCell ref="D3:F3"/>
    <mergeCell ref="G3:I3"/>
    <mergeCell ref="J3:L3"/>
    <mergeCell ref="A3:C3"/>
  </mergeCells>
  <conditionalFormatting sqref="I5:I6 L5:L6 F5:F14 L9 I9:I12 L11:L14">
    <cfRule type="cellIs" dxfId="3" priority="1" operator="lessThan">
      <formula>0</formula>
    </cfRule>
    <cfRule type="cellIs" dxfId="2" priority="2" operator="greaterThan">
      <formula>0</formula>
    </cfRule>
    <cfRule type="cellIs" dxfId="1" priority="3" operator="lessThan">
      <formula>0</formula>
    </cfRule>
    <cfRule type="cellIs" dxfId="0" priority="4" operator="greaterThan">
      <formula>0</formula>
    </cfRule>
  </conditionalFormatting>
  <pageMargins left="0.25" right="0.25" top="0.75" bottom="0.75" header="0.3" footer="0.3"/>
  <pageSetup paperSize="9" scale="37" orientation="landscape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ADB0A-9846-1E4A-8F04-1D511621EA36}">
  <dimension ref="A1:G37"/>
  <sheetViews>
    <sheetView workbookViewId="0">
      <selection activeCell="C35" sqref="C35"/>
    </sheetView>
  </sheetViews>
  <sheetFormatPr baseColWidth="10" defaultColWidth="8.83203125" defaultRowHeight="16"/>
  <cols>
    <col min="1" max="1" width="3" bestFit="1" customWidth="1"/>
    <col min="2" max="2" width="48.1640625" bestFit="1" customWidth="1"/>
    <col min="3" max="3" width="4.6640625" bestFit="1" customWidth="1"/>
    <col min="4" max="5" width="9.33203125" bestFit="1" customWidth="1"/>
    <col min="6" max="6" width="11" customWidth="1"/>
    <col min="7" max="7" width="8" customWidth="1"/>
  </cols>
  <sheetData>
    <row r="1" spans="1:7">
      <c r="A1" s="188"/>
      <c r="B1" s="188"/>
      <c r="C1" s="188"/>
      <c r="D1" s="188"/>
      <c r="E1" s="189"/>
      <c r="F1" s="190" t="s">
        <v>1161</v>
      </c>
    </row>
    <row r="2" spans="1:7">
      <c r="A2" s="188"/>
      <c r="B2" s="188"/>
      <c r="C2" s="188"/>
      <c r="D2" s="188"/>
      <c r="E2" s="189"/>
      <c r="F2" s="190" t="s">
        <v>1272</v>
      </c>
    </row>
    <row r="3" spans="1:7">
      <c r="A3" s="188"/>
      <c r="B3" s="188"/>
      <c r="C3" s="188"/>
      <c r="D3" s="188"/>
      <c r="E3" s="189"/>
      <c r="F3" s="190" t="s">
        <v>1159</v>
      </c>
    </row>
    <row r="4" spans="1:7">
      <c r="A4" s="188"/>
      <c r="B4" s="188"/>
      <c r="C4" s="188"/>
      <c r="D4" s="188"/>
      <c r="E4" s="189"/>
      <c r="F4" s="190" t="s">
        <v>1273</v>
      </c>
    </row>
    <row r="5" spans="1:7">
      <c r="A5" s="189"/>
      <c r="B5" s="191" t="s">
        <v>1157</v>
      </c>
      <c r="C5" s="189"/>
      <c r="D5" s="189"/>
      <c r="E5" s="189"/>
      <c r="F5" s="192" t="s">
        <v>1156</v>
      </c>
    </row>
    <row r="6" spans="1:7">
      <c r="A6" s="189"/>
      <c r="B6" s="226" t="s">
        <v>1414</v>
      </c>
      <c r="C6" s="189"/>
      <c r="D6" s="189"/>
      <c r="E6" s="189"/>
      <c r="F6" s="194"/>
    </row>
    <row r="7" spans="1:7">
      <c r="A7" s="189"/>
      <c r="B7" s="191"/>
      <c r="C7" s="189"/>
      <c r="D7" s="189"/>
      <c r="E7" s="189"/>
      <c r="F7" s="194"/>
    </row>
    <row r="8" spans="1:7" ht="45">
      <c r="A8" s="195" t="s">
        <v>1154</v>
      </c>
      <c r="B8" s="196" t="s">
        <v>1153</v>
      </c>
      <c r="C8" s="197" t="s">
        <v>1275</v>
      </c>
      <c r="D8" s="197" t="s">
        <v>1276</v>
      </c>
      <c r="E8" s="197" t="s">
        <v>1277</v>
      </c>
      <c r="F8" s="198" t="s">
        <v>1278</v>
      </c>
      <c r="G8" s="199" t="s">
        <v>1279</v>
      </c>
    </row>
    <row r="9" spans="1:7">
      <c r="A9" s="351"/>
      <c r="B9" s="1" t="s">
        <v>1413</v>
      </c>
      <c r="C9" s="202" t="s">
        <v>1120</v>
      </c>
      <c r="D9" s="203">
        <v>9.4441685799999995</v>
      </c>
      <c r="E9" s="204">
        <v>69.67</v>
      </c>
      <c r="F9" s="205">
        <f>D9*E9</f>
        <v>657.97522496859995</v>
      </c>
      <c r="G9" s="206"/>
    </row>
    <row r="10" spans="1:7">
      <c r="A10" s="351"/>
      <c r="B10" s="1" t="s">
        <v>1412</v>
      </c>
      <c r="C10" s="202" t="s">
        <v>1140</v>
      </c>
      <c r="D10" s="329">
        <v>1</v>
      </c>
      <c r="E10" s="204">
        <v>1896</v>
      </c>
      <c r="F10" s="205">
        <f>D10*E10</f>
        <v>1896</v>
      </c>
      <c r="G10" s="207"/>
    </row>
    <row r="11" spans="1:7">
      <c r="A11" s="351"/>
      <c r="B11" s="1" t="s">
        <v>1411</v>
      </c>
      <c r="C11" s="202" t="s">
        <v>1140</v>
      </c>
      <c r="D11" s="329">
        <v>4</v>
      </c>
      <c r="E11" s="204">
        <v>1.65</v>
      </c>
      <c r="F11" s="205">
        <f>D11*E11</f>
        <v>6.6</v>
      </c>
      <c r="G11" s="207"/>
    </row>
    <row r="12" spans="1:7">
      <c r="A12" s="351"/>
      <c r="B12" s="208" t="s">
        <v>1118</v>
      </c>
      <c r="C12" s="209"/>
      <c r="D12" s="210"/>
      <c r="E12" s="211"/>
      <c r="F12" s="212">
        <f>SUM(F9:F11)</f>
        <v>2560.5752249685997</v>
      </c>
    </row>
    <row r="13" spans="1:7">
      <c r="A13" s="351"/>
      <c r="B13" s="213" t="s">
        <v>1285</v>
      </c>
      <c r="C13" s="214"/>
      <c r="D13" s="202"/>
      <c r="E13" s="215">
        <v>0.01</v>
      </c>
      <c r="F13" s="205">
        <f>F12*E13</f>
        <v>25.605752249685999</v>
      </c>
    </row>
    <row r="14" spans="1:7">
      <c r="A14" s="352"/>
      <c r="B14" s="208" t="s">
        <v>1286</v>
      </c>
      <c r="C14" s="214"/>
      <c r="D14" s="202"/>
      <c r="E14" s="202"/>
      <c r="F14" s="212">
        <f>SUM(F12:F13)</f>
        <v>2586.1809772182855</v>
      </c>
    </row>
    <row r="15" spans="1:7">
      <c r="A15" s="195">
        <v>2</v>
      </c>
      <c r="B15" s="208" t="s">
        <v>1114</v>
      </c>
      <c r="C15" s="214"/>
      <c r="D15" s="202"/>
      <c r="E15" s="215">
        <v>0.14000000000000001</v>
      </c>
      <c r="F15" s="205">
        <f>F14*E15</f>
        <v>362.06533681055998</v>
      </c>
    </row>
    <row r="16" spans="1:7">
      <c r="A16" s="195"/>
      <c r="B16" s="213" t="s">
        <v>1113</v>
      </c>
      <c r="C16" s="214"/>
      <c r="D16" s="202"/>
      <c r="E16" s="215">
        <v>0.14000000000000001</v>
      </c>
      <c r="F16" s="205">
        <f>F15*E16</f>
        <v>50.689147153478402</v>
      </c>
    </row>
    <row r="17" spans="1:6">
      <c r="A17" s="195"/>
      <c r="B17" s="213" t="s">
        <v>1287</v>
      </c>
      <c r="C17" s="214"/>
      <c r="D17" s="202"/>
      <c r="E17" s="215"/>
      <c r="F17" s="205">
        <f>(F15+F16)*31.3%</f>
        <v>129.19215348074403</v>
      </c>
    </row>
    <row r="18" spans="1:6">
      <c r="A18" s="195">
        <v>3</v>
      </c>
      <c r="B18" s="208" t="s">
        <v>1109</v>
      </c>
      <c r="C18" s="214"/>
      <c r="D18" s="202"/>
      <c r="E18" s="215">
        <v>1.5</v>
      </c>
      <c r="F18" s="205">
        <f>F15*E18</f>
        <v>543.09800521583998</v>
      </c>
    </row>
    <row r="19" spans="1:6">
      <c r="A19" s="195">
        <v>4</v>
      </c>
      <c r="B19" s="208" t="s">
        <v>1107</v>
      </c>
      <c r="C19" s="214"/>
      <c r="D19" s="202"/>
      <c r="E19" s="216"/>
      <c r="F19" s="198">
        <f>F14+F15+F16+F17+F18</f>
        <v>3671.2256198789073</v>
      </c>
    </row>
    <row r="20" spans="1:6">
      <c r="A20" s="195">
        <v>5</v>
      </c>
      <c r="B20" s="208" t="s">
        <v>1105</v>
      </c>
      <c r="C20" s="214"/>
      <c r="D20" s="202"/>
      <c r="E20" s="217">
        <v>1</v>
      </c>
      <c r="F20" s="218">
        <f>F15*E20</f>
        <v>362.06533681055998</v>
      </c>
    </row>
    <row r="21" spans="1:6">
      <c r="A21" s="195"/>
      <c r="B21" s="208"/>
      <c r="C21" s="214"/>
      <c r="D21" s="202"/>
      <c r="E21" s="217">
        <v>0.8</v>
      </c>
      <c r="F21" s="218">
        <f>F15*E21</f>
        <v>289.65226944844801</v>
      </c>
    </row>
    <row r="22" spans="1:6">
      <c r="A22" s="195">
        <v>6</v>
      </c>
      <c r="B22" s="208" t="s">
        <v>1288</v>
      </c>
      <c r="C22" s="214"/>
      <c r="D22" s="202"/>
      <c r="E22" s="202"/>
      <c r="F22" s="218">
        <f>F19+F20</f>
        <v>4033.2909566894673</v>
      </c>
    </row>
    <row r="23" spans="1:6">
      <c r="A23" s="195"/>
      <c r="B23" s="208"/>
      <c r="C23" s="214"/>
      <c r="D23" s="202"/>
      <c r="E23" s="202"/>
      <c r="F23" s="218">
        <f>F19+F21</f>
        <v>3960.8778893273552</v>
      </c>
    </row>
    <row r="24" spans="1:6">
      <c r="A24" s="195">
        <v>7</v>
      </c>
      <c r="B24" s="208" t="s">
        <v>83</v>
      </c>
      <c r="C24" s="214"/>
      <c r="D24" s="202"/>
      <c r="E24" s="215">
        <v>0.4</v>
      </c>
      <c r="F24" s="218">
        <f>F22*E24</f>
        <v>1613.3163826757871</v>
      </c>
    </row>
    <row r="25" spans="1:6">
      <c r="A25" s="195"/>
      <c r="B25" s="208"/>
      <c r="C25" s="214"/>
      <c r="D25" s="202"/>
      <c r="E25" s="215">
        <v>7.0000000000000007E-2</v>
      </c>
      <c r="F25" s="218">
        <f>F23*E25</f>
        <v>277.26145225291486</v>
      </c>
    </row>
    <row r="26" spans="1:6">
      <c r="A26" s="195">
        <v>8</v>
      </c>
      <c r="B26" s="219" t="s">
        <v>1100</v>
      </c>
      <c r="C26" s="214"/>
      <c r="D26" s="202"/>
      <c r="E26" s="215"/>
      <c r="F26" s="218">
        <v>20</v>
      </c>
    </row>
    <row r="27" spans="1:6">
      <c r="A27" s="195">
        <v>9</v>
      </c>
      <c r="B27" s="219" t="s">
        <v>1099</v>
      </c>
      <c r="C27" s="214"/>
      <c r="D27" s="202"/>
      <c r="E27" s="216"/>
      <c r="F27" s="218">
        <f>F22+F24+F26</f>
        <v>5666.6073393652541</v>
      </c>
    </row>
    <row r="28" spans="1:6">
      <c r="A28" s="195"/>
      <c r="B28" s="219"/>
      <c r="C28" s="214"/>
      <c r="D28" s="202"/>
      <c r="E28" s="216"/>
      <c r="F28" s="218">
        <f>F23+F25+F26</f>
        <v>4258.1393415802704</v>
      </c>
    </row>
    <row r="29" spans="1:6">
      <c r="A29" s="195">
        <v>10</v>
      </c>
      <c r="B29" s="219" t="s">
        <v>1098</v>
      </c>
      <c r="C29" s="214"/>
      <c r="D29" s="202"/>
      <c r="E29" s="217">
        <v>0.22</v>
      </c>
      <c r="F29" s="218">
        <f>F27*E29</f>
        <v>1246.653614660356</v>
      </c>
    </row>
    <row r="30" spans="1:6">
      <c r="A30" s="195"/>
      <c r="B30" s="219"/>
      <c r="C30" s="214"/>
      <c r="D30" s="202"/>
      <c r="E30" s="217">
        <v>0.22</v>
      </c>
      <c r="F30" s="218">
        <f>F28*E30</f>
        <v>936.79065514765955</v>
      </c>
    </row>
    <row r="31" spans="1:6">
      <c r="A31" s="195">
        <v>11</v>
      </c>
      <c r="B31" s="209" t="s">
        <v>1291</v>
      </c>
      <c r="C31" s="214"/>
      <c r="D31" s="214"/>
      <c r="E31" s="214" t="s">
        <v>1096</v>
      </c>
      <c r="F31" s="212">
        <f>F27+F29</f>
        <v>6913.2609540256099</v>
      </c>
    </row>
    <row r="32" spans="1:6">
      <c r="A32" s="223"/>
      <c r="B32" s="223"/>
      <c r="C32" s="223"/>
      <c r="D32" s="223"/>
      <c r="E32" s="223" t="s">
        <v>1095</v>
      </c>
      <c r="F32" s="224">
        <f>F28+F30</f>
        <v>5194.9299967279303</v>
      </c>
    </row>
    <row r="33" spans="1:6">
      <c r="A33" s="188"/>
      <c r="B33" s="188"/>
      <c r="C33" s="188"/>
      <c r="D33" s="188"/>
      <c r="E33" s="188"/>
      <c r="F33" s="225"/>
    </row>
    <row r="34" spans="1:6">
      <c r="A34" s="188"/>
      <c r="B34" s="188"/>
      <c r="C34" s="188"/>
      <c r="D34" s="188"/>
      <c r="E34" s="188"/>
      <c r="F34" s="225"/>
    </row>
    <row r="35" spans="1:6">
      <c r="A35" s="188"/>
      <c r="B35" s="188"/>
      <c r="C35" s="188"/>
      <c r="D35" s="188"/>
      <c r="E35" s="188"/>
      <c r="F35" s="225"/>
    </row>
    <row r="36" spans="1:6">
      <c r="A36" s="188"/>
      <c r="B36" s="189" t="s">
        <v>1292</v>
      </c>
      <c r="C36" s="188"/>
      <c r="D36" s="188"/>
      <c r="E36" s="188"/>
      <c r="F36" s="225"/>
    </row>
    <row r="37" spans="1:6">
      <c r="A37" s="188"/>
      <c r="B37" s="188"/>
      <c r="C37" s="188"/>
      <c r="D37" s="188"/>
      <c r="E37" s="188"/>
      <c r="F37" s="225"/>
    </row>
  </sheetData>
  <mergeCells count="1">
    <mergeCell ref="A9:A14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EB268-DE85-8641-9208-75339F2B57F8}">
  <dimension ref="A1:G40"/>
  <sheetViews>
    <sheetView workbookViewId="0">
      <selection activeCell="C35" sqref="C35"/>
    </sheetView>
  </sheetViews>
  <sheetFormatPr baseColWidth="10" defaultColWidth="8.83203125" defaultRowHeight="16"/>
  <cols>
    <col min="1" max="1" width="3" bestFit="1" customWidth="1"/>
    <col min="2" max="2" width="48.1640625" bestFit="1" customWidth="1"/>
    <col min="3" max="3" width="4.6640625" bestFit="1" customWidth="1"/>
    <col min="4" max="4" width="9.33203125" bestFit="1" customWidth="1"/>
    <col min="5" max="5" width="7.83203125" bestFit="1" customWidth="1"/>
    <col min="6" max="6" width="11" customWidth="1"/>
    <col min="7" max="7" width="8" customWidth="1"/>
  </cols>
  <sheetData>
    <row r="1" spans="1:7">
      <c r="A1" s="188"/>
      <c r="B1" s="188"/>
      <c r="C1" s="188"/>
      <c r="D1" s="188"/>
      <c r="E1" s="189"/>
      <c r="F1" s="190" t="s">
        <v>1161</v>
      </c>
    </row>
    <row r="2" spans="1:7">
      <c r="A2" s="188"/>
      <c r="B2" s="188"/>
      <c r="C2" s="188"/>
      <c r="D2" s="188"/>
      <c r="E2" s="189"/>
      <c r="F2" s="190" t="s">
        <v>1272</v>
      </c>
    </row>
    <row r="3" spans="1:7">
      <c r="A3" s="188"/>
      <c r="B3" s="188"/>
      <c r="C3" s="188"/>
      <c r="D3" s="188"/>
      <c r="E3" s="189"/>
      <c r="F3" s="190" t="s">
        <v>1159</v>
      </c>
    </row>
    <row r="4" spans="1:7">
      <c r="A4" s="188"/>
      <c r="B4" s="188"/>
      <c r="C4" s="188"/>
      <c r="D4" s="188"/>
      <c r="E4" s="189"/>
      <c r="F4" s="190" t="s">
        <v>1273</v>
      </c>
    </row>
    <row r="5" spans="1:7">
      <c r="A5" s="189"/>
      <c r="B5" s="191" t="s">
        <v>1157</v>
      </c>
      <c r="C5" s="189"/>
      <c r="D5" s="189"/>
      <c r="E5" s="189"/>
      <c r="F5" s="192" t="s">
        <v>1156</v>
      </c>
    </row>
    <row r="6" spans="1:7">
      <c r="A6" s="189"/>
      <c r="B6" s="226" t="s">
        <v>1419</v>
      </c>
      <c r="C6" s="189"/>
      <c r="D6" s="189"/>
      <c r="E6" s="189"/>
      <c r="F6" s="194"/>
    </row>
    <row r="7" spans="1:7">
      <c r="A7" s="189"/>
      <c r="B7" s="191"/>
      <c r="C7" s="189"/>
      <c r="D7" s="189"/>
      <c r="E7" s="189"/>
      <c r="F7" s="194"/>
    </row>
    <row r="8" spans="1:7" ht="45">
      <c r="A8" s="195" t="s">
        <v>1154</v>
      </c>
      <c r="B8" s="196" t="s">
        <v>1153</v>
      </c>
      <c r="C8" s="197" t="s">
        <v>1275</v>
      </c>
      <c r="D8" s="197" t="s">
        <v>1276</v>
      </c>
      <c r="E8" s="197" t="s">
        <v>1277</v>
      </c>
      <c r="F8" s="198" t="s">
        <v>1278</v>
      </c>
      <c r="G8" s="199" t="s">
        <v>1279</v>
      </c>
    </row>
    <row r="9" spans="1:7">
      <c r="A9" s="351"/>
      <c r="B9" s="1" t="s">
        <v>1418</v>
      </c>
      <c r="C9" s="202" t="s">
        <v>1120</v>
      </c>
      <c r="D9" s="203">
        <f>8.843</f>
        <v>8.843</v>
      </c>
      <c r="E9" s="204">
        <v>61.48</v>
      </c>
      <c r="F9" s="205">
        <f>D9*E9</f>
        <v>543.66764000000001</v>
      </c>
      <c r="G9" s="206"/>
    </row>
    <row r="10" spans="1:7">
      <c r="A10" s="351"/>
      <c r="B10" s="1" t="s">
        <v>1282</v>
      </c>
      <c r="C10" s="202" t="s">
        <v>1120</v>
      </c>
      <c r="D10" s="203">
        <f>0.294</f>
        <v>0.29399999999999998</v>
      </c>
      <c r="E10" s="204">
        <v>208.95</v>
      </c>
      <c r="F10" s="205">
        <f>D10*E10</f>
        <v>61.431299999999993</v>
      </c>
      <c r="G10" s="207">
        <v>0.13300000000000001</v>
      </c>
    </row>
    <row r="11" spans="1:7">
      <c r="A11" s="351"/>
      <c r="B11" s="1" t="s">
        <v>1283</v>
      </c>
      <c r="C11" s="202" t="s">
        <v>1177</v>
      </c>
      <c r="D11" s="203">
        <f>2.21</f>
        <v>2.21</v>
      </c>
      <c r="E11" s="204">
        <v>0.52</v>
      </c>
      <c r="F11" s="205">
        <f>D11*E11*G11</f>
        <v>5.7460000000000004</v>
      </c>
      <c r="G11" s="207">
        <v>5</v>
      </c>
    </row>
    <row r="12" spans="1:7">
      <c r="A12" s="351"/>
      <c r="B12" s="1" t="s">
        <v>1417</v>
      </c>
      <c r="C12" s="202" t="s">
        <v>1140</v>
      </c>
      <c r="D12" s="329">
        <f>8</f>
        <v>8</v>
      </c>
      <c r="E12" s="204">
        <v>0.91</v>
      </c>
      <c r="F12" s="205">
        <f>D12*E12</f>
        <v>7.28</v>
      </c>
      <c r="G12" s="207"/>
    </row>
    <row r="13" spans="1:7">
      <c r="A13" s="351"/>
      <c r="B13" s="1" t="s">
        <v>1416</v>
      </c>
      <c r="C13" s="202" t="s">
        <v>1140</v>
      </c>
      <c r="D13" s="329">
        <v>8</v>
      </c>
      <c r="E13" s="204">
        <v>0.46</v>
      </c>
      <c r="F13" s="205">
        <f>D13*E13</f>
        <v>3.68</v>
      </c>
      <c r="G13" s="207"/>
    </row>
    <row r="14" spans="1:7">
      <c r="A14" s="351"/>
      <c r="B14" s="1" t="s">
        <v>1415</v>
      </c>
      <c r="C14" s="202" t="s">
        <v>1140</v>
      </c>
      <c r="D14" s="329">
        <v>8</v>
      </c>
      <c r="E14" s="204">
        <v>0.16</v>
      </c>
      <c r="F14" s="205">
        <f>D14*E14</f>
        <v>1.28</v>
      </c>
      <c r="G14" s="207"/>
    </row>
    <row r="15" spans="1:7">
      <c r="A15" s="351"/>
      <c r="B15" s="208" t="s">
        <v>1118</v>
      </c>
      <c r="C15" s="209"/>
      <c r="D15" s="210"/>
      <c r="E15" s="211"/>
      <c r="F15" s="212">
        <f>SUM(F9:F14)</f>
        <v>623.08493999999985</v>
      </c>
    </row>
    <row r="16" spans="1:7">
      <c r="A16" s="351"/>
      <c r="B16" s="213" t="s">
        <v>1285</v>
      </c>
      <c r="C16" s="214"/>
      <c r="D16" s="202"/>
      <c r="E16" s="215">
        <v>0.01</v>
      </c>
      <c r="F16" s="205">
        <f>F15*E16</f>
        <v>6.2308493999999985</v>
      </c>
    </row>
    <row r="17" spans="1:6">
      <c r="A17" s="352"/>
      <c r="B17" s="208" t="s">
        <v>1286</v>
      </c>
      <c r="C17" s="214"/>
      <c r="D17" s="202"/>
      <c r="E17" s="202"/>
      <c r="F17" s="212">
        <f>SUM(F15:F16)</f>
        <v>629.31578939999986</v>
      </c>
    </row>
    <row r="18" spans="1:6">
      <c r="A18" s="195">
        <v>2</v>
      </c>
      <c r="B18" s="208" t="s">
        <v>1114</v>
      </c>
      <c r="C18" s="214"/>
      <c r="D18" s="202"/>
      <c r="E18" s="215">
        <v>0.14000000000000001</v>
      </c>
      <c r="F18" s="205">
        <f>F17*E18</f>
        <v>88.104210515999995</v>
      </c>
    </row>
    <row r="19" spans="1:6">
      <c r="A19" s="195"/>
      <c r="B19" s="213" t="s">
        <v>1113</v>
      </c>
      <c r="C19" s="214"/>
      <c r="D19" s="202"/>
      <c r="E19" s="215">
        <v>0.14000000000000001</v>
      </c>
      <c r="F19" s="205">
        <f>F18*E19</f>
        <v>12.334589472240001</v>
      </c>
    </row>
    <row r="20" spans="1:6">
      <c r="A20" s="195"/>
      <c r="B20" s="213" t="s">
        <v>1287</v>
      </c>
      <c r="C20" s="214"/>
      <c r="D20" s="202"/>
      <c r="E20" s="215"/>
      <c r="F20" s="205">
        <f>(F18+F19)*30.9%</f>
        <v>31.035589196366157</v>
      </c>
    </row>
    <row r="21" spans="1:6">
      <c r="A21" s="195">
        <v>3</v>
      </c>
      <c r="B21" s="208" t="s">
        <v>1109</v>
      </c>
      <c r="C21" s="214"/>
      <c r="D21" s="202"/>
      <c r="E21" s="215">
        <v>1.5</v>
      </c>
      <c r="F21" s="205">
        <f>F18*E21</f>
        <v>132.15631577400001</v>
      </c>
    </row>
    <row r="22" spans="1:6">
      <c r="A22" s="195">
        <v>4</v>
      </c>
      <c r="B22" s="208" t="s">
        <v>1107</v>
      </c>
      <c r="C22" s="214"/>
      <c r="D22" s="202"/>
      <c r="E22" s="216"/>
      <c r="F22" s="198">
        <f>F17+F18+F19+F20+F21</f>
        <v>892.94649435860606</v>
      </c>
    </row>
    <row r="23" spans="1:6">
      <c r="A23" s="195">
        <v>5</v>
      </c>
      <c r="B23" s="208" t="s">
        <v>1105</v>
      </c>
      <c r="C23" s="214"/>
      <c r="D23" s="202"/>
      <c r="E23" s="217">
        <v>1</v>
      </c>
      <c r="F23" s="218">
        <f>F18*E23</f>
        <v>88.104210515999995</v>
      </c>
    </row>
    <row r="24" spans="1:6">
      <c r="A24" s="195"/>
      <c r="B24" s="208"/>
      <c r="C24" s="214"/>
      <c r="D24" s="202"/>
      <c r="E24" s="217">
        <v>0.8</v>
      </c>
      <c r="F24" s="218">
        <f>F18*E24</f>
        <v>70.483368412800004</v>
      </c>
    </row>
    <row r="25" spans="1:6">
      <c r="A25" s="195">
        <v>6</v>
      </c>
      <c r="B25" s="208" t="s">
        <v>1288</v>
      </c>
      <c r="C25" s="214"/>
      <c r="D25" s="202"/>
      <c r="E25" s="202"/>
      <c r="F25" s="218">
        <f>F22+F23</f>
        <v>981.05070487460603</v>
      </c>
    </row>
    <row r="26" spans="1:6">
      <c r="A26" s="195"/>
      <c r="B26" s="208"/>
      <c r="C26" s="214"/>
      <c r="D26" s="202"/>
      <c r="E26" s="202"/>
      <c r="F26" s="218">
        <f>F22+F24</f>
        <v>963.42986277140608</v>
      </c>
    </row>
    <row r="27" spans="1:6">
      <c r="A27" s="195">
        <v>7</v>
      </c>
      <c r="B27" s="208" t="s">
        <v>83</v>
      </c>
      <c r="C27" s="214"/>
      <c r="D27" s="202"/>
      <c r="E27" s="215">
        <v>0.4</v>
      </c>
      <c r="F27" s="218">
        <f>F25*E27</f>
        <v>392.42028194984243</v>
      </c>
    </row>
    <row r="28" spans="1:6">
      <c r="A28" s="195"/>
      <c r="B28" s="208"/>
      <c r="C28" s="214"/>
      <c r="D28" s="202"/>
      <c r="E28" s="215">
        <v>7.0000000000000007E-2</v>
      </c>
      <c r="F28" s="218">
        <f>F26*E28</f>
        <v>67.440090393998432</v>
      </c>
    </row>
    <row r="29" spans="1:6">
      <c r="A29" s="195">
        <v>8</v>
      </c>
      <c r="B29" s="219" t="s">
        <v>1100</v>
      </c>
      <c r="C29" s="214"/>
      <c r="D29" s="202"/>
      <c r="E29" s="215"/>
      <c r="F29" s="218">
        <v>55</v>
      </c>
    </row>
    <row r="30" spans="1:6">
      <c r="A30" s="195">
        <v>9</v>
      </c>
      <c r="B30" s="219" t="s">
        <v>1099</v>
      </c>
      <c r="C30" s="214"/>
      <c r="D30" s="202"/>
      <c r="E30" s="216"/>
      <c r="F30" s="218">
        <f>F25+F27+F29</f>
        <v>1428.4709868244486</v>
      </c>
    </row>
    <row r="31" spans="1:6">
      <c r="A31" s="195"/>
      <c r="B31" s="219"/>
      <c r="C31" s="214"/>
      <c r="D31" s="202"/>
      <c r="E31" s="216"/>
      <c r="F31" s="218">
        <f>F26+F28+F29</f>
        <v>1085.8699531654045</v>
      </c>
    </row>
    <row r="32" spans="1:6">
      <c r="A32" s="195">
        <v>10</v>
      </c>
      <c r="B32" s="219" t="s">
        <v>1098</v>
      </c>
      <c r="C32" s="214"/>
      <c r="D32" s="202"/>
      <c r="E32" s="217">
        <v>0.22</v>
      </c>
      <c r="F32" s="218">
        <f>F30*E32</f>
        <v>314.26361710137871</v>
      </c>
    </row>
    <row r="33" spans="1:6">
      <c r="A33" s="195"/>
      <c r="B33" s="219"/>
      <c r="C33" s="214"/>
      <c r="D33" s="202"/>
      <c r="E33" s="217">
        <v>0.22</v>
      </c>
      <c r="F33" s="218">
        <f>F31*E33</f>
        <v>238.89138969638898</v>
      </c>
    </row>
    <row r="34" spans="1:6">
      <c r="A34" s="195">
        <v>11</v>
      </c>
      <c r="B34" s="209" t="s">
        <v>1291</v>
      </c>
      <c r="C34" s="214"/>
      <c r="D34" s="214"/>
      <c r="E34" s="214" t="s">
        <v>1096</v>
      </c>
      <c r="F34" s="212">
        <f>F30+F32</f>
        <v>1742.7346039258273</v>
      </c>
    </row>
    <row r="35" spans="1:6">
      <c r="A35" s="223"/>
      <c r="B35" s="223"/>
      <c r="C35" s="223"/>
      <c r="D35" s="223"/>
      <c r="E35" s="223" t="s">
        <v>1095</v>
      </c>
      <c r="F35" s="224">
        <f>F31+F33</f>
        <v>1324.7613428617935</v>
      </c>
    </row>
    <row r="36" spans="1:6">
      <c r="A36" s="188"/>
      <c r="B36" s="188"/>
      <c r="C36" s="188"/>
      <c r="D36" s="188"/>
      <c r="E36" s="188"/>
      <c r="F36" s="225"/>
    </row>
    <row r="37" spans="1:6">
      <c r="A37" s="188"/>
      <c r="B37" s="188"/>
      <c r="C37" s="188"/>
      <c r="D37" s="188"/>
      <c r="E37" s="188"/>
      <c r="F37" s="225"/>
    </row>
    <row r="38" spans="1:6">
      <c r="A38" s="188"/>
      <c r="B38" s="188"/>
      <c r="C38" s="188"/>
      <c r="D38" s="188"/>
      <c r="E38" s="188"/>
      <c r="F38" s="225"/>
    </row>
    <row r="39" spans="1:6">
      <c r="A39" s="188"/>
      <c r="B39" s="189" t="s">
        <v>1292</v>
      </c>
      <c r="C39" s="188"/>
      <c r="D39" s="188"/>
      <c r="E39" s="188"/>
      <c r="F39" s="225"/>
    </row>
    <row r="40" spans="1:6">
      <c r="A40" s="188"/>
      <c r="B40" s="188"/>
      <c r="C40" s="188"/>
      <c r="D40" s="188"/>
      <c r="E40" s="188"/>
      <c r="F40" s="225"/>
    </row>
  </sheetData>
  <mergeCells count="1">
    <mergeCell ref="A9:A17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D7A16-785E-5C47-B363-0E3F4C3CCCA3}">
  <dimension ref="A1:J41"/>
  <sheetViews>
    <sheetView topLeftCell="A4" workbookViewId="0">
      <selection activeCell="C35" sqref="C35"/>
    </sheetView>
  </sheetViews>
  <sheetFormatPr baseColWidth="10" defaultColWidth="8.83203125" defaultRowHeight="16"/>
  <cols>
    <col min="1" max="1" width="3" bestFit="1" customWidth="1"/>
    <col min="2" max="2" width="48.1640625" bestFit="1" customWidth="1"/>
    <col min="3" max="3" width="4.6640625" bestFit="1" customWidth="1"/>
    <col min="4" max="4" width="9.33203125" bestFit="1" customWidth="1"/>
    <col min="5" max="5" width="7.83203125" bestFit="1" customWidth="1"/>
    <col min="6" max="6" width="11" customWidth="1"/>
    <col min="7" max="7" width="8" customWidth="1"/>
    <col min="8" max="8" width="58.1640625" customWidth="1"/>
  </cols>
  <sheetData>
    <row r="1" spans="1:8">
      <c r="A1" s="188"/>
      <c r="B1" s="188"/>
      <c r="C1" s="188"/>
      <c r="D1" s="188"/>
      <c r="E1" s="189"/>
      <c r="F1" s="190" t="s">
        <v>1161</v>
      </c>
    </row>
    <row r="2" spans="1:8">
      <c r="A2" s="188"/>
      <c r="B2" s="188"/>
      <c r="C2" s="188"/>
      <c r="D2" s="188"/>
      <c r="E2" s="189"/>
      <c r="F2" s="190" t="s">
        <v>1272</v>
      </c>
    </row>
    <row r="3" spans="1:8">
      <c r="A3" s="188"/>
      <c r="B3" s="188"/>
      <c r="C3" s="188"/>
      <c r="D3" s="188"/>
      <c r="E3" s="189"/>
      <c r="F3" s="190" t="s">
        <v>1159</v>
      </c>
    </row>
    <row r="4" spans="1:8">
      <c r="A4" s="188"/>
      <c r="B4" s="188"/>
      <c r="C4" s="188"/>
      <c r="D4" s="188"/>
      <c r="E4" s="189"/>
      <c r="F4" s="190" t="s">
        <v>1273</v>
      </c>
    </row>
    <row r="5" spans="1:8">
      <c r="A5" s="189"/>
      <c r="B5" s="191" t="s">
        <v>1157</v>
      </c>
      <c r="C5" s="189"/>
      <c r="D5" s="189"/>
      <c r="E5" s="189"/>
      <c r="F5" s="192" t="s">
        <v>1156</v>
      </c>
    </row>
    <row r="6" spans="1:8">
      <c r="A6" s="189"/>
      <c r="B6" s="334" t="s">
        <v>1423</v>
      </c>
      <c r="C6" s="189"/>
      <c r="D6" s="189"/>
      <c r="E6" s="189"/>
      <c r="F6" s="194"/>
    </row>
    <row r="7" spans="1:8">
      <c r="A7" s="189"/>
      <c r="B7" s="191"/>
      <c r="C7" s="189"/>
      <c r="D7" s="189"/>
      <c r="E7" s="189"/>
      <c r="F7" s="194"/>
    </row>
    <row r="8" spans="1:8" ht="45">
      <c r="A8" s="195" t="s">
        <v>1154</v>
      </c>
      <c r="B8" s="196" t="s">
        <v>1153</v>
      </c>
      <c r="C8" s="197" t="s">
        <v>1275</v>
      </c>
      <c r="D8" s="197" t="s">
        <v>1276</v>
      </c>
      <c r="E8" s="197" t="s">
        <v>1277</v>
      </c>
      <c r="F8" s="198" t="s">
        <v>1278</v>
      </c>
      <c r="G8" s="199" t="s">
        <v>1279</v>
      </c>
      <c r="H8" s="200"/>
    </row>
    <row r="9" spans="1:8">
      <c r="A9" s="351"/>
      <c r="B9" s="1" t="s">
        <v>1418</v>
      </c>
      <c r="C9" s="202" t="s">
        <v>1120</v>
      </c>
      <c r="D9" s="203">
        <v>4.4017154280000002</v>
      </c>
      <c r="E9" s="204">
        <v>61.48</v>
      </c>
      <c r="F9" s="205">
        <f>D9*E9</f>
        <v>270.61746451343998</v>
      </c>
      <c r="G9" s="206"/>
    </row>
    <row r="10" spans="1:8">
      <c r="A10" s="351"/>
      <c r="B10" s="1" t="s">
        <v>1282</v>
      </c>
      <c r="C10" s="202" t="s">
        <v>1120</v>
      </c>
      <c r="D10" s="203">
        <v>0.13837107199999998</v>
      </c>
      <c r="E10" s="204">
        <v>208.95</v>
      </c>
      <c r="F10" s="205">
        <f>D10*E10</f>
        <v>28.912635494399996</v>
      </c>
      <c r="G10" s="207">
        <v>0.13300000000000001</v>
      </c>
    </row>
    <row r="11" spans="1:8">
      <c r="A11" s="351"/>
      <c r="B11" s="1" t="s">
        <v>1283</v>
      </c>
      <c r="C11" s="202" t="s">
        <v>1177</v>
      </c>
      <c r="D11" s="203">
        <v>1.0403839999999998</v>
      </c>
      <c r="E11" s="204">
        <v>0.52</v>
      </c>
      <c r="F11" s="205">
        <f>D11*E11*G11</f>
        <v>2.7049983999999991</v>
      </c>
      <c r="G11" s="207">
        <v>5</v>
      </c>
    </row>
    <row r="12" spans="1:8">
      <c r="A12" s="351"/>
      <c r="B12" s="1" t="s">
        <v>1422</v>
      </c>
      <c r="C12" s="202" t="s">
        <v>1284</v>
      </c>
      <c r="D12" s="329">
        <v>2</v>
      </c>
      <c r="E12" s="204">
        <v>0.3</v>
      </c>
      <c r="F12" s="205">
        <f>D12*E12</f>
        <v>0.6</v>
      </c>
      <c r="G12" s="207"/>
    </row>
    <row r="13" spans="1:8">
      <c r="A13" s="351"/>
      <c r="B13" s="1" t="s">
        <v>1146</v>
      </c>
      <c r="C13" s="202" t="s">
        <v>1290</v>
      </c>
      <c r="D13" s="203">
        <v>5.0000000000000001E-3</v>
      </c>
      <c r="E13" s="204">
        <v>179</v>
      </c>
      <c r="F13" s="205">
        <f>D13*E13</f>
        <v>0.89500000000000002</v>
      </c>
      <c r="G13" s="207"/>
    </row>
    <row r="14" spans="1:8">
      <c r="A14" s="351"/>
      <c r="B14" s="1" t="s">
        <v>1421</v>
      </c>
      <c r="C14" s="202" t="s">
        <v>1290</v>
      </c>
      <c r="D14" s="203">
        <v>1.9E-2</v>
      </c>
      <c r="E14" s="204">
        <v>220</v>
      </c>
      <c r="F14" s="205">
        <f>D14*E14</f>
        <v>4.18</v>
      </c>
      <c r="G14" s="207"/>
    </row>
    <row r="15" spans="1:8">
      <c r="A15" s="351"/>
      <c r="B15" s="1" t="s">
        <v>1188</v>
      </c>
      <c r="C15" s="202" t="s">
        <v>1290</v>
      </c>
      <c r="D15" s="203">
        <v>2E-3</v>
      </c>
      <c r="E15" s="204">
        <v>180</v>
      </c>
      <c r="F15" s="205">
        <f>D15*E15</f>
        <v>0.36</v>
      </c>
      <c r="G15" s="207"/>
    </row>
    <row r="16" spans="1:8">
      <c r="A16" s="351"/>
      <c r="B16" s="208" t="s">
        <v>1118</v>
      </c>
      <c r="C16" s="209"/>
      <c r="D16" s="210"/>
      <c r="E16" s="211"/>
      <c r="F16" s="212">
        <f>SUM(F9:F15)</f>
        <v>308.27009840784001</v>
      </c>
    </row>
    <row r="17" spans="1:10">
      <c r="A17" s="351"/>
      <c r="B17" s="213" t="s">
        <v>1285</v>
      </c>
      <c r="C17" s="214"/>
      <c r="D17" s="202"/>
      <c r="E17" s="215">
        <v>0.01</v>
      </c>
      <c r="F17" s="205">
        <f>F16*E17</f>
        <v>3.0827009840784001</v>
      </c>
    </row>
    <row r="18" spans="1:10">
      <c r="A18" s="352"/>
      <c r="B18" s="208" t="s">
        <v>1286</v>
      </c>
      <c r="C18" s="214"/>
      <c r="D18" s="202"/>
      <c r="E18" s="202"/>
      <c r="F18" s="212">
        <f>SUM(F16:F17)</f>
        <v>311.35279939191844</v>
      </c>
    </row>
    <row r="19" spans="1:10">
      <c r="A19" s="195">
        <v>2</v>
      </c>
      <c r="B19" s="208" t="s">
        <v>1114</v>
      </c>
      <c r="C19" s="214"/>
      <c r="D19" s="202"/>
      <c r="E19" s="215">
        <v>0.14000000000000001</v>
      </c>
      <c r="F19" s="205">
        <f>F18*E19</f>
        <v>43.589391914868585</v>
      </c>
    </row>
    <row r="20" spans="1:10">
      <c r="A20" s="195"/>
      <c r="B20" s="213" t="s">
        <v>1113</v>
      </c>
      <c r="C20" s="214"/>
      <c r="D20" s="202"/>
      <c r="E20" s="215">
        <v>0.14000000000000001</v>
      </c>
      <c r="F20" s="205">
        <f>F19*E20</f>
        <v>6.1025148680816024</v>
      </c>
    </row>
    <row r="21" spans="1:10">
      <c r="A21" s="195"/>
      <c r="B21" s="213" t="s">
        <v>1287</v>
      </c>
      <c r="C21" s="214"/>
      <c r="D21" s="202"/>
      <c r="E21" s="215"/>
      <c r="F21" s="205">
        <f>(F19+F20)*31.3%</f>
        <v>15.553566823063408</v>
      </c>
    </row>
    <row r="22" spans="1:10">
      <c r="A22" s="195">
        <v>3</v>
      </c>
      <c r="B22" s="208" t="s">
        <v>1109</v>
      </c>
      <c r="C22" s="214"/>
      <c r="D22" s="202"/>
      <c r="E22" s="215">
        <v>1.5</v>
      </c>
      <c r="F22" s="205">
        <f>F19*E22</f>
        <v>65.384087872302871</v>
      </c>
    </row>
    <row r="23" spans="1:10">
      <c r="A23" s="195">
        <v>4</v>
      </c>
      <c r="B23" s="208" t="s">
        <v>1107</v>
      </c>
      <c r="C23" s="214"/>
      <c r="D23" s="202"/>
      <c r="E23" s="216"/>
      <c r="F23" s="198">
        <f>F18+F19+F20+F21+F22</f>
        <v>441.98236087023491</v>
      </c>
    </row>
    <row r="24" spans="1:10">
      <c r="A24" s="195">
        <v>5</v>
      </c>
      <c r="B24" s="208" t="s">
        <v>1105</v>
      </c>
      <c r="C24" s="214"/>
      <c r="D24" s="202"/>
      <c r="E24" s="217">
        <v>1</v>
      </c>
      <c r="F24" s="218">
        <f>F19*E24</f>
        <v>43.589391914868585</v>
      </c>
    </row>
    <row r="25" spans="1:10">
      <c r="A25" s="195"/>
      <c r="B25" s="208"/>
      <c r="C25" s="214"/>
      <c r="D25" s="202"/>
      <c r="E25" s="217">
        <v>0.8</v>
      </c>
      <c r="F25" s="218">
        <f>F19*E25</f>
        <v>34.87151353189487</v>
      </c>
    </row>
    <row r="26" spans="1:10">
      <c r="A26" s="195">
        <v>6</v>
      </c>
      <c r="B26" s="208" t="s">
        <v>1288</v>
      </c>
      <c r="C26" s="214"/>
      <c r="D26" s="202"/>
      <c r="E26" s="202"/>
      <c r="F26" s="218">
        <f>F23+F24</f>
        <v>485.57175278510351</v>
      </c>
    </row>
    <row r="27" spans="1:10">
      <c r="A27" s="195"/>
      <c r="B27" s="208"/>
      <c r="C27" s="214"/>
      <c r="D27" s="202"/>
      <c r="E27" s="202"/>
      <c r="F27" s="218">
        <f>F23+F25</f>
        <v>476.8538744021298</v>
      </c>
    </row>
    <row r="28" spans="1:10">
      <c r="A28" s="195">
        <v>7</v>
      </c>
      <c r="B28" s="208" t="s">
        <v>83</v>
      </c>
      <c r="C28" s="214"/>
      <c r="D28" s="202"/>
      <c r="E28" s="215">
        <v>0.4</v>
      </c>
      <c r="F28" s="218">
        <f>F26*E28</f>
        <v>194.22870111404143</v>
      </c>
    </row>
    <row r="29" spans="1:10">
      <c r="A29" s="195"/>
      <c r="B29" s="208"/>
      <c r="C29" s="214"/>
      <c r="D29" s="202"/>
      <c r="E29" s="215">
        <v>7.0000000000000007E-2</v>
      </c>
      <c r="F29" s="218">
        <f>F27*E29</f>
        <v>33.379771208149087</v>
      </c>
    </row>
    <row r="30" spans="1:10">
      <c r="A30" s="195">
        <v>8</v>
      </c>
      <c r="B30" s="219" t="s">
        <v>1100</v>
      </c>
      <c r="C30" s="214"/>
      <c r="D30" s="202"/>
      <c r="E30" s="215"/>
      <c r="F30" s="218">
        <v>53</v>
      </c>
      <c r="H30" s="153" t="s">
        <v>1420</v>
      </c>
      <c r="I30" s="332" t="s">
        <v>1140</v>
      </c>
      <c r="J30" s="333">
        <v>2</v>
      </c>
    </row>
    <row r="31" spans="1:10">
      <c r="A31" s="195">
        <v>9</v>
      </c>
      <c r="B31" s="219" t="s">
        <v>1099</v>
      </c>
      <c r="C31" s="214"/>
      <c r="D31" s="202"/>
      <c r="E31" s="216"/>
      <c r="F31" s="218">
        <f>F26+F28+F30</f>
        <v>732.80045389914494</v>
      </c>
      <c r="H31" s="153"/>
      <c r="I31" s="332"/>
      <c r="J31" s="332"/>
    </row>
    <row r="32" spans="1:10">
      <c r="A32" s="195"/>
      <c r="B32" s="219"/>
      <c r="C32" s="214"/>
      <c r="D32" s="202"/>
      <c r="E32" s="216"/>
      <c r="F32" s="218">
        <f>F27+F29+F30</f>
        <v>563.23364561027893</v>
      </c>
      <c r="H32" s="331"/>
      <c r="I32" s="331"/>
      <c r="J32" s="330"/>
    </row>
    <row r="33" spans="1:6">
      <c r="A33" s="195">
        <v>10</v>
      </c>
      <c r="B33" s="219" t="s">
        <v>1098</v>
      </c>
      <c r="C33" s="214"/>
      <c r="D33" s="202"/>
      <c r="E33" s="217">
        <v>0.22</v>
      </c>
      <c r="F33" s="218">
        <f>F31*E33</f>
        <v>161.21609985781188</v>
      </c>
    </row>
    <row r="34" spans="1:6">
      <c r="A34" s="195"/>
      <c r="B34" s="219"/>
      <c r="C34" s="214"/>
      <c r="D34" s="202"/>
      <c r="E34" s="217">
        <v>0.22</v>
      </c>
      <c r="F34" s="218">
        <f>F32*E34</f>
        <v>123.91140203426137</v>
      </c>
    </row>
    <row r="35" spans="1:6">
      <c r="A35" s="195">
        <v>11</v>
      </c>
      <c r="B35" s="209" t="s">
        <v>1291</v>
      </c>
      <c r="C35" s="214"/>
      <c r="D35" s="214"/>
      <c r="E35" s="214" t="s">
        <v>1096</v>
      </c>
      <c r="F35" s="212">
        <f>F31+F33</f>
        <v>894.0165537569568</v>
      </c>
    </row>
    <row r="36" spans="1:6">
      <c r="A36" s="223"/>
      <c r="B36" s="223"/>
      <c r="C36" s="223"/>
      <c r="D36" s="223"/>
      <c r="E36" s="223" t="s">
        <v>1095</v>
      </c>
      <c r="F36" s="224">
        <f>F32+F34</f>
        <v>687.14504764454034</v>
      </c>
    </row>
    <row r="37" spans="1:6">
      <c r="A37" s="188"/>
      <c r="B37" s="188"/>
      <c r="C37" s="188"/>
      <c r="D37" s="188"/>
      <c r="E37" s="188"/>
      <c r="F37" s="225"/>
    </row>
    <row r="38" spans="1:6">
      <c r="A38" s="188"/>
      <c r="B38" s="188"/>
      <c r="C38" s="188"/>
      <c r="D38" s="188"/>
      <c r="E38" s="188"/>
      <c r="F38" s="225"/>
    </row>
    <row r="39" spans="1:6">
      <c r="A39" s="188"/>
      <c r="B39" s="188"/>
      <c r="C39" s="188"/>
      <c r="D39" s="188"/>
      <c r="E39" s="188"/>
      <c r="F39" s="225"/>
    </row>
    <row r="40" spans="1:6">
      <c r="A40" s="188"/>
      <c r="B40" s="189" t="s">
        <v>1292</v>
      </c>
      <c r="C40" s="188"/>
      <c r="D40" s="188"/>
      <c r="E40" s="188"/>
      <c r="F40" s="225"/>
    </row>
    <row r="41" spans="1:6">
      <c r="A41" s="188"/>
      <c r="B41" s="188"/>
      <c r="C41" s="188"/>
      <c r="D41" s="188"/>
      <c r="E41" s="188"/>
      <c r="F41" s="225"/>
    </row>
  </sheetData>
  <mergeCells count="1">
    <mergeCell ref="A9:A18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812C2-F568-FB44-9C54-CEC121C494E4}">
  <dimension ref="A1:G40"/>
  <sheetViews>
    <sheetView workbookViewId="0">
      <selection activeCell="C35" sqref="C35"/>
    </sheetView>
  </sheetViews>
  <sheetFormatPr baseColWidth="10" defaultColWidth="8.83203125" defaultRowHeight="16"/>
  <cols>
    <col min="1" max="1" width="3" bestFit="1" customWidth="1"/>
    <col min="2" max="2" width="48.1640625" bestFit="1" customWidth="1"/>
    <col min="3" max="3" width="4.6640625" bestFit="1" customWidth="1"/>
    <col min="4" max="4" width="9.33203125" bestFit="1" customWidth="1"/>
    <col min="5" max="5" width="7.83203125" bestFit="1" customWidth="1"/>
    <col min="6" max="6" width="11" customWidth="1"/>
    <col min="7" max="7" width="8" customWidth="1"/>
  </cols>
  <sheetData>
    <row r="1" spans="1:7">
      <c r="A1" s="188"/>
      <c r="B1" s="188"/>
      <c r="C1" s="188"/>
      <c r="D1" s="188"/>
      <c r="E1" s="189"/>
      <c r="F1" s="190" t="s">
        <v>1161</v>
      </c>
    </row>
    <row r="2" spans="1:7">
      <c r="A2" s="188"/>
      <c r="B2" s="188"/>
      <c r="C2" s="188"/>
      <c r="D2" s="188"/>
      <c r="E2" s="189"/>
      <c r="F2" s="190" t="s">
        <v>1272</v>
      </c>
    </row>
    <row r="3" spans="1:7">
      <c r="A3" s="188"/>
      <c r="B3" s="188"/>
      <c r="C3" s="188"/>
      <c r="D3" s="188"/>
      <c r="E3" s="189"/>
      <c r="F3" s="190" t="s">
        <v>1159</v>
      </c>
    </row>
    <row r="4" spans="1:7">
      <c r="A4" s="188"/>
      <c r="B4" s="188"/>
      <c r="C4" s="188"/>
      <c r="D4" s="188"/>
      <c r="E4" s="189"/>
      <c r="F4" s="190" t="s">
        <v>1273</v>
      </c>
    </row>
    <row r="5" spans="1:7">
      <c r="A5" s="189"/>
      <c r="B5" s="191" t="s">
        <v>1157</v>
      </c>
      <c r="C5" s="189"/>
      <c r="D5" s="189"/>
      <c r="E5" s="189"/>
      <c r="F5" s="192" t="s">
        <v>1156</v>
      </c>
    </row>
    <row r="6" spans="1:7">
      <c r="A6" s="189"/>
      <c r="B6" s="226" t="s">
        <v>1424</v>
      </c>
      <c r="C6" s="189"/>
      <c r="D6" s="189"/>
      <c r="E6" s="189"/>
      <c r="F6" s="194"/>
    </row>
    <row r="7" spans="1:7">
      <c r="A7" s="189"/>
      <c r="B7" s="191"/>
      <c r="C7" s="189"/>
      <c r="D7" s="189"/>
      <c r="E7" s="189"/>
      <c r="F7" s="194"/>
    </row>
    <row r="8" spans="1:7" ht="45">
      <c r="A8" s="195" t="s">
        <v>1154</v>
      </c>
      <c r="B8" s="196" t="s">
        <v>1153</v>
      </c>
      <c r="C8" s="197" t="s">
        <v>1275</v>
      </c>
      <c r="D8" s="197" t="s">
        <v>1276</v>
      </c>
      <c r="E8" s="197" t="s">
        <v>1277</v>
      </c>
      <c r="F8" s="198" t="s">
        <v>1278</v>
      </c>
      <c r="G8" s="199" t="s">
        <v>1279</v>
      </c>
    </row>
    <row r="9" spans="1:7">
      <c r="A9" s="351"/>
      <c r="B9" s="1" t="s">
        <v>1418</v>
      </c>
      <c r="C9" s="202" t="s">
        <v>1120</v>
      </c>
      <c r="D9" s="203">
        <v>7.3102148459999992</v>
      </c>
      <c r="E9" s="204">
        <v>61.48</v>
      </c>
      <c r="F9" s="205">
        <f>D9*E9</f>
        <v>449.43200873207991</v>
      </c>
      <c r="G9" s="206"/>
    </row>
    <row r="10" spans="1:7">
      <c r="A10" s="351"/>
      <c r="B10" s="1" t="s">
        <v>1282</v>
      </c>
      <c r="C10" s="202" t="s">
        <v>1120</v>
      </c>
      <c r="D10" s="203">
        <v>0.24256646400000004</v>
      </c>
      <c r="E10" s="204">
        <v>208.95</v>
      </c>
      <c r="F10" s="205">
        <f>D10*E10</f>
        <v>50.684262652800008</v>
      </c>
      <c r="G10" s="207">
        <v>0.13300000000000001</v>
      </c>
    </row>
    <row r="11" spans="1:7">
      <c r="A11" s="351"/>
      <c r="B11" s="1" t="s">
        <v>1283</v>
      </c>
      <c r="C11" s="202" t="s">
        <v>1177</v>
      </c>
      <c r="D11" s="203">
        <v>1.8238080000000001</v>
      </c>
      <c r="E11" s="204">
        <v>0.52</v>
      </c>
      <c r="F11" s="205">
        <f>D11*E11*G11</f>
        <v>4.7419007999999998</v>
      </c>
      <c r="G11" s="207">
        <v>5</v>
      </c>
    </row>
    <row r="12" spans="1:7">
      <c r="A12" s="351"/>
      <c r="B12" s="1" t="s">
        <v>1417</v>
      </c>
      <c r="C12" s="202" t="s">
        <v>1140</v>
      </c>
      <c r="D12" s="329">
        <f>8</f>
        <v>8</v>
      </c>
      <c r="E12" s="204">
        <v>0.91</v>
      </c>
      <c r="F12" s="205">
        <f>D12*E12</f>
        <v>7.28</v>
      </c>
      <c r="G12" s="207"/>
    </row>
    <row r="13" spans="1:7">
      <c r="A13" s="351"/>
      <c r="B13" s="1" t="s">
        <v>1416</v>
      </c>
      <c r="C13" s="202" t="s">
        <v>1140</v>
      </c>
      <c r="D13" s="329">
        <v>8</v>
      </c>
      <c r="E13" s="204">
        <v>0.46</v>
      </c>
      <c r="F13" s="205">
        <f>D13*E13</f>
        <v>3.68</v>
      </c>
      <c r="G13" s="207"/>
    </row>
    <row r="14" spans="1:7">
      <c r="A14" s="351"/>
      <c r="B14" s="1" t="s">
        <v>1415</v>
      </c>
      <c r="C14" s="202" t="s">
        <v>1140</v>
      </c>
      <c r="D14" s="329">
        <v>8</v>
      </c>
      <c r="E14" s="204">
        <v>0.16</v>
      </c>
      <c r="F14" s="205">
        <f>D14*E14</f>
        <v>1.28</v>
      </c>
      <c r="G14" s="207"/>
    </row>
    <row r="15" spans="1:7">
      <c r="A15" s="351"/>
      <c r="B15" s="208" t="s">
        <v>1118</v>
      </c>
      <c r="C15" s="209"/>
      <c r="D15" s="210"/>
      <c r="E15" s="211"/>
      <c r="F15" s="212">
        <f>SUM(F9:F14)</f>
        <v>517.09817218487979</v>
      </c>
    </row>
    <row r="16" spans="1:7">
      <c r="A16" s="351"/>
      <c r="B16" s="213" t="s">
        <v>1285</v>
      </c>
      <c r="C16" s="214"/>
      <c r="D16" s="202"/>
      <c r="E16" s="215">
        <v>0.01</v>
      </c>
      <c r="F16" s="205">
        <f>F15*E16</f>
        <v>5.1709817218487979</v>
      </c>
    </row>
    <row r="17" spans="1:6">
      <c r="A17" s="352"/>
      <c r="B17" s="208" t="s">
        <v>1286</v>
      </c>
      <c r="C17" s="214"/>
      <c r="D17" s="202"/>
      <c r="E17" s="202"/>
      <c r="F17" s="212">
        <f>SUM(F15:F16)</f>
        <v>522.26915390672855</v>
      </c>
    </row>
    <row r="18" spans="1:6">
      <c r="A18" s="195">
        <v>2</v>
      </c>
      <c r="B18" s="208" t="s">
        <v>1114</v>
      </c>
      <c r="C18" s="214"/>
      <c r="D18" s="202"/>
      <c r="E18" s="215">
        <v>0.14000000000000001</v>
      </c>
      <c r="F18" s="205">
        <f>F17*E18</f>
        <v>73.117681546942009</v>
      </c>
    </row>
    <row r="19" spans="1:6">
      <c r="A19" s="195"/>
      <c r="B19" s="213" t="s">
        <v>1113</v>
      </c>
      <c r="C19" s="214"/>
      <c r="D19" s="202"/>
      <c r="E19" s="215">
        <v>0.14000000000000001</v>
      </c>
      <c r="F19" s="205">
        <f>F18*E19</f>
        <v>10.236475416571881</v>
      </c>
    </row>
    <row r="20" spans="1:6">
      <c r="A20" s="195"/>
      <c r="B20" s="213" t="s">
        <v>1287</v>
      </c>
      <c r="C20" s="214"/>
      <c r="D20" s="202"/>
      <c r="E20" s="215"/>
      <c r="F20" s="205">
        <f>(F18+F19)*31.3%</f>
        <v>26.089851129579845</v>
      </c>
    </row>
    <row r="21" spans="1:6">
      <c r="A21" s="195">
        <v>3</v>
      </c>
      <c r="B21" s="208" t="s">
        <v>1109</v>
      </c>
      <c r="C21" s="214"/>
      <c r="D21" s="202"/>
      <c r="E21" s="215">
        <v>1.5</v>
      </c>
      <c r="F21" s="205">
        <f>F18*E21</f>
        <v>109.67652232041301</v>
      </c>
    </row>
    <row r="22" spans="1:6">
      <c r="A22" s="195">
        <v>4</v>
      </c>
      <c r="B22" s="208" t="s">
        <v>1107</v>
      </c>
      <c r="C22" s="214"/>
      <c r="D22" s="202"/>
      <c r="E22" s="216"/>
      <c r="F22" s="198">
        <f>F17+F18+F19+F20+F21</f>
        <v>741.38968432023535</v>
      </c>
    </row>
    <row r="23" spans="1:6">
      <c r="A23" s="195">
        <v>5</v>
      </c>
      <c r="B23" s="208" t="s">
        <v>1105</v>
      </c>
      <c r="C23" s="214"/>
      <c r="D23" s="202"/>
      <c r="E23" s="217">
        <v>1</v>
      </c>
      <c r="F23" s="218">
        <f>F18*E23</f>
        <v>73.117681546942009</v>
      </c>
    </row>
    <row r="24" spans="1:6">
      <c r="A24" s="195"/>
      <c r="B24" s="208"/>
      <c r="C24" s="214"/>
      <c r="D24" s="202"/>
      <c r="E24" s="217">
        <v>0.8</v>
      </c>
      <c r="F24" s="218">
        <f>F18*E24</f>
        <v>58.49414523755361</v>
      </c>
    </row>
    <row r="25" spans="1:6">
      <c r="A25" s="195">
        <v>6</v>
      </c>
      <c r="B25" s="208" t="s">
        <v>1288</v>
      </c>
      <c r="C25" s="214"/>
      <c r="D25" s="202"/>
      <c r="E25" s="202"/>
      <c r="F25" s="218">
        <f>F22+F23</f>
        <v>814.50736586717733</v>
      </c>
    </row>
    <row r="26" spans="1:6">
      <c r="A26" s="195"/>
      <c r="B26" s="208"/>
      <c r="C26" s="214"/>
      <c r="D26" s="202"/>
      <c r="E26" s="202"/>
      <c r="F26" s="218">
        <f>F22+F24</f>
        <v>799.883829557789</v>
      </c>
    </row>
    <row r="27" spans="1:6">
      <c r="A27" s="195">
        <v>7</v>
      </c>
      <c r="B27" s="208" t="s">
        <v>83</v>
      </c>
      <c r="C27" s="214"/>
      <c r="D27" s="202"/>
      <c r="E27" s="215">
        <v>0.4</v>
      </c>
      <c r="F27" s="218">
        <f>F25*E27</f>
        <v>325.80294634687095</v>
      </c>
    </row>
    <row r="28" spans="1:6">
      <c r="A28" s="195"/>
      <c r="B28" s="208"/>
      <c r="C28" s="214"/>
      <c r="D28" s="202"/>
      <c r="E28" s="215">
        <v>7.0000000000000007E-2</v>
      </c>
      <c r="F28" s="218">
        <f>F26*E28</f>
        <v>55.991868069045232</v>
      </c>
    </row>
    <row r="29" spans="1:6">
      <c r="A29" s="195">
        <v>8</v>
      </c>
      <c r="B29" s="219" t="s">
        <v>1100</v>
      </c>
      <c r="C29" s="214"/>
      <c r="D29" s="202"/>
      <c r="E29" s="215"/>
      <c r="F29" s="218">
        <v>10</v>
      </c>
    </row>
    <row r="30" spans="1:6">
      <c r="A30" s="195">
        <v>9</v>
      </c>
      <c r="B30" s="219" t="s">
        <v>1099</v>
      </c>
      <c r="C30" s="214"/>
      <c r="D30" s="202"/>
      <c r="E30" s="216"/>
      <c r="F30" s="218">
        <f>F25+F27+F29</f>
        <v>1150.3103122140483</v>
      </c>
    </row>
    <row r="31" spans="1:6">
      <c r="A31" s="195"/>
      <c r="B31" s="219"/>
      <c r="C31" s="214"/>
      <c r="D31" s="202"/>
      <c r="E31" s="216"/>
      <c r="F31" s="218">
        <f>F26+F28+F29</f>
        <v>865.87569762683427</v>
      </c>
    </row>
    <row r="32" spans="1:6">
      <c r="A32" s="195">
        <v>10</v>
      </c>
      <c r="B32" s="219" t="s">
        <v>1098</v>
      </c>
      <c r="C32" s="214"/>
      <c r="D32" s="202"/>
      <c r="E32" s="217">
        <v>0.22</v>
      </c>
      <c r="F32" s="218">
        <f>F30*E32</f>
        <v>253.06826868709064</v>
      </c>
    </row>
    <row r="33" spans="1:6">
      <c r="A33" s="195"/>
      <c r="B33" s="219"/>
      <c r="C33" s="214"/>
      <c r="D33" s="202"/>
      <c r="E33" s="217">
        <v>0.22</v>
      </c>
      <c r="F33" s="218">
        <f>F31*E33</f>
        <v>190.49265347790353</v>
      </c>
    </row>
    <row r="34" spans="1:6">
      <c r="A34" s="195">
        <v>11</v>
      </c>
      <c r="B34" s="209" t="s">
        <v>1291</v>
      </c>
      <c r="C34" s="214"/>
      <c r="D34" s="214"/>
      <c r="E34" s="214" t="s">
        <v>1096</v>
      </c>
      <c r="F34" s="212">
        <f>F30+F32</f>
        <v>1403.378580901139</v>
      </c>
    </row>
    <row r="35" spans="1:6">
      <c r="A35" s="223"/>
      <c r="B35" s="223"/>
      <c r="C35" s="223"/>
      <c r="D35" s="223"/>
      <c r="E35" s="223" t="s">
        <v>1095</v>
      </c>
      <c r="F35" s="224">
        <f>F31+F33</f>
        <v>1056.3683511047377</v>
      </c>
    </row>
    <row r="36" spans="1:6">
      <c r="A36" s="188"/>
      <c r="B36" s="188"/>
      <c r="C36" s="188"/>
      <c r="D36" s="188"/>
      <c r="E36" s="188"/>
      <c r="F36" s="225"/>
    </row>
    <row r="37" spans="1:6">
      <c r="A37" s="188"/>
      <c r="B37" s="188"/>
      <c r="C37" s="188"/>
      <c r="D37" s="188"/>
      <c r="E37" s="188"/>
      <c r="F37" s="225"/>
    </row>
    <row r="38" spans="1:6">
      <c r="A38" s="188"/>
      <c r="B38" s="188"/>
      <c r="C38" s="188"/>
      <c r="D38" s="188"/>
      <c r="E38" s="188"/>
      <c r="F38" s="225"/>
    </row>
    <row r="39" spans="1:6">
      <c r="A39" s="188"/>
      <c r="B39" s="189" t="s">
        <v>1292</v>
      </c>
      <c r="C39" s="188"/>
      <c r="D39" s="188"/>
      <c r="E39" s="188"/>
      <c r="F39" s="225"/>
    </row>
    <row r="40" spans="1:6">
      <c r="A40" s="188"/>
      <c r="B40" s="188"/>
      <c r="C40" s="188"/>
      <c r="D40" s="188"/>
      <c r="E40" s="188"/>
      <c r="F40" s="225"/>
    </row>
  </sheetData>
  <mergeCells count="1">
    <mergeCell ref="A9:A17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2C54E-BFDC-EC4C-9B47-709D6F575B52}">
  <dimension ref="A1:G37"/>
  <sheetViews>
    <sheetView workbookViewId="0">
      <selection activeCell="C35" sqref="C35"/>
    </sheetView>
  </sheetViews>
  <sheetFormatPr baseColWidth="10" defaultColWidth="8.83203125" defaultRowHeight="16"/>
  <cols>
    <col min="1" max="1" width="3" bestFit="1" customWidth="1"/>
    <col min="2" max="2" width="48.1640625" bestFit="1" customWidth="1"/>
    <col min="3" max="3" width="4.6640625" bestFit="1" customWidth="1"/>
    <col min="4" max="5" width="9.33203125" bestFit="1" customWidth="1"/>
    <col min="6" max="6" width="11" customWidth="1"/>
    <col min="7" max="7" width="8" customWidth="1"/>
  </cols>
  <sheetData>
    <row r="1" spans="1:7">
      <c r="A1" s="188"/>
      <c r="B1" s="188"/>
      <c r="C1" s="188"/>
      <c r="D1" s="188"/>
      <c r="E1" s="189"/>
      <c r="F1" s="190" t="s">
        <v>1161</v>
      </c>
    </row>
    <row r="2" spans="1:7">
      <c r="A2" s="188"/>
      <c r="B2" s="188"/>
      <c r="C2" s="188"/>
      <c r="D2" s="188"/>
      <c r="E2" s="189"/>
      <c r="F2" s="190" t="s">
        <v>1272</v>
      </c>
    </row>
    <row r="3" spans="1:7">
      <c r="A3" s="188"/>
      <c r="B3" s="188"/>
      <c r="C3" s="188"/>
      <c r="D3" s="188"/>
      <c r="E3" s="189"/>
      <c r="F3" s="190" t="s">
        <v>1159</v>
      </c>
    </row>
    <row r="4" spans="1:7">
      <c r="A4" s="188"/>
      <c r="B4" s="188"/>
      <c r="C4" s="188"/>
      <c r="D4" s="188"/>
      <c r="E4" s="189"/>
      <c r="F4" s="190" t="s">
        <v>1273</v>
      </c>
    </row>
    <row r="5" spans="1:7">
      <c r="A5" s="189"/>
      <c r="B5" s="191" t="s">
        <v>1157</v>
      </c>
      <c r="C5" s="189"/>
      <c r="D5" s="189"/>
      <c r="E5" s="189"/>
      <c r="F5" s="192" t="s">
        <v>1156</v>
      </c>
    </row>
    <row r="6" spans="1:7">
      <c r="A6" s="189"/>
      <c r="B6" s="226" t="s">
        <v>1426</v>
      </c>
      <c r="C6" s="189"/>
      <c r="D6" s="189"/>
      <c r="E6" s="189"/>
      <c r="F6" s="194"/>
    </row>
    <row r="7" spans="1:7">
      <c r="A7" s="189"/>
      <c r="B7" s="191"/>
      <c r="C7" s="189"/>
      <c r="D7" s="189"/>
      <c r="E7" s="189"/>
      <c r="F7" s="194"/>
    </row>
    <row r="8" spans="1:7" ht="45">
      <c r="A8" s="195" t="s">
        <v>1154</v>
      </c>
      <c r="B8" s="196" t="s">
        <v>1153</v>
      </c>
      <c r="C8" s="197" t="s">
        <v>1275</v>
      </c>
      <c r="D8" s="197" t="s">
        <v>1276</v>
      </c>
      <c r="E8" s="197" t="s">
        <v>1277</v>
      </c>
      <c r="F8" s="198" t="s">
        <v>1278</v>
      </c>
      <c r="G8" s="199" t="s">
        <v>1279</v>
      </c>
    </row>
    <row r="9" spans="1:7">
      <c r="A9" s="351"/>
      <c r="B9" s="1" t="s">
        <v>1413</v>
      </c>
      <c r="C9" s="202" t="s">
        <v>1120</v>
      </c>
      <c r="D9" s="203">
        <v>8.1627345800000004</v>
      </c>
      <c r="E9" s="204">
        <v>69.67</v>
      </c>
      <c r="F9" s="205">
        <f>D9*E9</f>
        <v>568.69771818859999</v>
      </c>
      <c r="G9" s="206"/>
    </row>
    <row r="10" spans="1:7">
      <c r="A10" s="351"/>
      <c r="B10" s="1" t="s">
        <v>1425</v>
      </c>
      <c r="C10" s="202" t="s">
        <v>1140</v>
      </c>
      <c r="D10" s="329">
        <v>1</v>
      </c>
      <c r="E10" s="204">
        <v>1602</v>
      </c>
      <c r="F10" s="205">
        <f>D10*E10</f>
        <v>1602</v>
      </c>
      <c r="G10" s="207"/>
    </row>
    <row r="11" spans="1:7">
      <c r="A11" s="351"/>
      <c r="B11" s="220" t="s">
        <v>1411</v>
      </c>
      <c r="C11" s="202" t="s">
        <v>1140</v>
      </c>
      <c r="D11" s="222">
        <v>4</v>
      </c>
      <c r="E11" s="204">
        <v>1.65</v>
      </c>
      <c r="F11" s="205">
        <f>D11*E11</f>
        <v>6.6</v>
      </c>
      <c r="G11" s="207"/>
    </row>
    <row r="12" spans="1:7">
      <c r="A12" s="351"/>
      <c r="B12" s="208" t="s">
        <v>1118</v>
      </c>
      <c r="C12" s="209"/>
      <c r="D12" s="210"/>
      <c r="E12" s="211"/>
      <c r="F12" s="212">
        <f>SUM(F9:F11)</f>
        <v>2177.2977181885999</v>
      </c>
    </row>
    <row r="13" spans="1:7">
      <c r="A13" s="351"/>
      <c r="B13" s="213" t="s">
        <v>1285</v>
      </c>
      <c r="C13" s="214"/>
      <c r="D13" s="202"/>
      <c r="E13" s="215">
        <v>0.01</v>
      </c>
      <c r="F13" s="205">
        <f>F12*E13</f>
        <v>21.772977181885999</v>
      </c>
    </row>
    <row r="14" spans="1:7">
      <c r="A14" s="352"/>
      <c r="B14" s="208" t="s">
        <v>1286</v>
      </c>
      <c r="C14" s="214"/>
      <c r="D14" s="202"/>
      <c r="E14" s="202"/>
      <c r="F14" s="212">
        <f>SUM(F12:F13)</f>
        <v>2199.0706953704857</v>
      </c>
    </row>
    <row r="15" spans="1:7">
      <c r="A15" s="195">
        <v>2</v>
      </c>
      <c r="B15" s="208" t="s">
        <v>1114</v>
      </c>
      <c r="C15" s="214"/>
      <c r="D15" s="202"/>
      <c r="E15" s="215">
        <v>0.14000000000000001</v>
      </c>
      <c r="F15" s="205">
        <f>F14*E15</f>
        <v>307.86989735186802</v>
      </c>
    </row>
    <row r="16" spans="1:7">
      <c r="A16" s="195"/>
      <c r="B16" s="213" t="s">
        <v>1113</v>
      </c>
      <c r="C16" s="214"/>
      <c r="D16" s="202"/>
      <c r="E16" s="215">
        <v>0.14000000000000001</v>
      </c>
      <c r="F16" s="205">
        <f>F15*E16</f>
        <v>43.101785629261528</v>
      </c>
    </row>
    <row r="17" spans="1:6">
      <c r="A17" s="195"/>
      <c r="B17" s="213" t="s">
        <v>1287</v>
      </c>
      <c r="C17" s="214"/>
      <c r="D17" s="202"/>
      <c r="E17" s="215"/>
      <c r="F17" s="205">
        <f>(F15+F16)*31.3%</f>
        <v>109.85413677309356</v>
      </c>
    </row>
    <row r="18" spans="1:6">
      <c r="A18" s="195">
        <v>3</v>
      </c>
      <c r="B18" s="208" t="s">
        <v>1109</v>
      </c>
      <c r="C18" s="214"/>
      <c r="D18" s="202"/>
      <c r="E18" s="215">
        <v>1.5</v>
      </c>
      <c r="F18" s="205">
        <f>F15*E18</f>
        <v>461.804846027802</v>
      </c>
    </row>
    <row r="19" spans="1:6">
      <c r="A19" s="195">
        <v>4</v>
      </c>
      <c r="B19" s="208" t="s">
        <v>1107</v>
      </c>
      <c r="C19" s="214"/>
      <c r="D19" s="202"/>
      <c r="E19" s="216"/>
      <c r="F19" s="198">
        <f>F14+F15+F16+F17+F18</f>
        <v>3121.7013611525108</v>
      </c>
    </row>
    <row r="20" spans="1:6">
      <c r="A20" s="195">
        <v>5</v>
      </c>
      <c r="B20" s="208" t="s">
        <v>1105</v>
      </c>
      <c r="C20" s="214"/>
      <c r="D20" s="202"/>
      <c r="E20" s="217">
        <v>1</v>
      </c>
      <c r="F20" s="218">
        <f>F15*E20</f>
        <v>307.86989735186802</v>
      </c>
    </row>
    <row r="21" spans="1:6">
      <c r="A21" s="195"/>
      <c r="B21" s="208"/>
      <c r="C21" s="214"/>
      <c r="D21" s="202"/>
      <c r="E21" s="217">
        <v>0.8</v>
      </c>
      <c r="F21" s="218">
        <f>F15*E21</f>
        <v>246.29591788149443</v>
      </c>
    </row>
    <row r="22" spans="1:6">
      <c r="A22" s="195">
        <v>6</v>
      </c>
      <c r="B22" s="208" t="s">
        <v>1288</v>
      </c>
      <c r="C22" s="214"/>
      <c r="D22" s="202"/>
      <c r="E22" s="202"/>
      <c r="F22" s="218">
        <f>F19+F20</f>
        <v>3429.5712585043789</v>
      </c>
    </row>
    <row r="23" spans="1:6">
      <c r="A23" s="195"/>
      <c r="B23" s="208"/>
      <c r="C23" s="214"/>
      <c r="D23" s="202"/>
      <c r="E23" s="202"/>
      <c r="F23" s="218">
        <f>F19+F21</f>
        <v>3367.9972790340053</v>
      </c>
    </row>
    <row r="24" spans="1:6">
      <c r="A24" s="195">
        <v>7</v>
      </c>
      <c r="B24" s="208" t="s">
        <v>83</v>
      </c>
      <c r="C24" s="214"/>
      <c r="D24" s="202"/>
      <c r="E24" s="215">
        <v>0.4</v>
      </c>
      <c r="F24" s="218">
        <f>F22*E24</f>
        <v>1371.8285034017517</v>
      </c>
    </row>
    <row r="25" spans="1:6">
      <c r="A25" s="195"/>
      <c r="B25" s="208"/>
      <c r="C25" s="214"/>
      <c r="D25" s="202"/>
      <c r="E25" s="215">
        <v>7.0000000000000007E-2</v>
      </c>
      <c r="F25" s="218">
        <f>F23*E25</f>
        <v>235.75980953238039</v>
      </c>
    </row>
    <row r="26" spans="1:6">
      <c r="A26" s="195">
        <v>8</v>
      </c>
      <c r="B26" s="219" t="s">
        <v>1100</v>
      </c>
      <c r="C26" s="214"/>
      <c r="D26" s="202"/>
      <c r="E26" s="215"/>
      <c r="F26" s="218">
        <v>20</v>
      </c>
    </row>
    <row r="27" spans="1:6">
      <c r="A27" s="195">
        <v>9</v>
      </c>
      <c r="B27" s="219" t="s">
        <v>1099</v>
      </c>
      <c r="C27" s="214"/>
      <c r="D27" s="202"/>
      <c r="E27" s="216"/>
      <c r="F27" s="218">
        <f>F22+F24+F26</f>
        <v>4821.3997619061302</v>
      </c>
    </row>
    <row r="28" spans="1:6">
      <c r="A28" s="195"/>
      <c r="B28" s="219"/>
      <c r="C28" s="214"/>
      <c r="D28" s="202"/>
      <c r="E28" s="216"/>
      <c r="F28" s="218">
        <f>F23+F25+F26</f>
        <v>3623.7570885663858</v>
      </c>
    </row>
    <row r="29" spans="1:6">
      <c r="A29" s="195">
        <v>10</v>
      </c>
      <c r="B29" s="219" t="s">
        <v>1098</v>
      </c>
      <c r="C29" s="214"/>
      <c r="D29" s="202"/>
      <c r="E29" s="217">
        <v>0.22</v>
      </c>
      <c r="F29" s="218">
        <f>F27*E29</f>
        <v>1060.7079476193487</v>
      </c>
    </row>
    <row r="30" spans="1:6">
      <c r="A30" s="195"/>
      <c r="B30" s="219"/>
      <c r="C30" s="214"/>
      <c r="D30" s="202"/>
      <c r="E30" s="217">
        <v>0.22</v>
      </c>
      <c r="F30" s="218">
        <f>F28*E30</f>
        <v>797.22655948460488</v>
      </c>
    </row>
    <row r="31" spans="1:6">
      <c r="A31" s="195">
        <v>11</v>
      </c>
      <c r="B31" s="209" t="s">
        <v>1291</v>
      </c>
      <c r="C31" s="214"/>
      <c r="D31" s="214"/>
      <c r="E31" s="214" t="s">
        <v>1096</v>
      </c>
      <c r="F31" s="212">
        <f>F27+F29</f>
        <v>5882.1077095254786</v>
      </c>
    </row>
    <row r="32" spans="1:6">
      <c r="A32" s="223"/>
      <c r="B32" s="223"/>
      <c r="C32" s="223"/>
      <c r="D32" s="223"/>
      <c r="E32" s="223" t="s">
        <v>1095</v>
      </c>
      <c r="F32" s="224">
        <f>F28+F30</f>
        <v>4420.9836480509912</v>
      </c>
    </row>
    <row r="33" spans="1:6">
      <c r="A33" s="188"/>
      <c r="B33" s="188"/>
      <c r="C33" s="188"/>
      <c r="D33" s="188"/>
      <c r="E33" s="188"/>
      <c r="F33" s="225"/>
    </row>
    <row r="34" spans="1:6">
      <c r="A34" s="188"/>
      <c r="B34" s="188"/>
      <c r="C34" s="188"/>
      <c r="D34" s="188"/>
      <c r="E34" s="188"/>
      <c r="F34" s="225"/>
    </row>
    <row r="35" spans="1:6">
      <c r="A35" s="188"/>
      <c r="B35" s="188"/>
      <c r="C35" s="188"/>
      <c r="D35" s="188"/>
      <c r="E35" s="188"/>
      <c r="F35" s="225"/>
    </row>
    <row r="36" spans="1:6">
      <c r="A36" s="188"/>
      <c r="B36" s="189" t="s">
        <v>1292</v>
      </c>
      <c r="C36" s="188"/>
      <c r="D36" s="188"/>
      <c r="E36" s="188"/>
      <c r="F36" s="225"/>
    </row>
    <row r="37" spans="1:6">
      <c r="A37" s="188"/>
      <c r="B37" s="188"/>
      <c r="C37" s="188"/>
      <c r="D37" s="188"/>
      <c r="E37" s="188"/>
      <c r="F37" s="225"/>
    </row>
  </sheetData>
  <mergeCells count="1">
    <mergeCell ref="A9:A14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  <pageSetUpPr autoPageBreaks="0"/>
  </sheetPr>
  <dimension ref="A1:K47"/>
  <sheetViews>
    <sheetView topLeftCell="A3" zoomScale="120" zoomScaleNormal="120" workbookViewId="0">
      <selection activeCell="F38" sqref="F38"/>
    </sheetView>
  </sheetViews>
  <sheetFormatPr baseColWidth="10" defaultColWidth="9" defaultRowHeight="11.5" customHeight="1"/>
  <cols>
    <col min="1" max="1" width="5.5" style="73" customWidth="1"/>
    <col min="2" max="2" width="42.1640625" style="73" customWidth="1"/>
    <col min="3" max="3" width="12.5" style="73" customWidth="1"/>
    <col min="4" max="4" width="8.5" style="73" customWidth="1"/>
    <col min="5" max="5" width="9.5" style="73" customWidth="1"/>
    <col min="6" max="6" width="14.1640625" style="73" customWidth="1"/>
    <col min="7" max="7" width="9" style="72"/>
    <col min="8" max="8" width="38" style="72" customWidth="1"/>
    <col min="9" max="16384" width="9" style="72"/>
  </cols>
  <sheetData>
    <row r="1" spans="1:11" ht="11" customHeight="1">
      <c r="F1" s="97" t="s">
        <v>1161</v>
      </c>
    </row>
    <row r="2" spans="1:11" ht="11" customHeight="1">
      <c r="F2" s="97" t="s">
        <v>1160</v>
      </c>
    </row>
    <row r="3" spans="1:11" ht="11" customHeight="1">
      <c r="F3" s="97" t="s">
        <v>1159</v>
      </c>
    </row>
    <row r="4" spans="1:11" ht="11" customHeight="1">
      <c r="F4" s="97" t="s">
        <v>1158</v>
      </c>
    </row>
    <row r="5" spans="1:11" ht="16" customHeight="1">
      <c r="A5" s="96" t="s">
        <v>1157</v>
      </c>
      <c r="F5" s="95" t="s">
        <v>1156</v>
      </c>
    </row>
    <row r="6" spans="1:11" ht="11" customHeight="1"/>
    <row r="7" spans="1:11" ht="13" customHeight="1">
      <c r="A7" s="353" t="s">
        <v>1155</v>
      </c>
      <c r="B7" s="353"/>
      <c r="C7" s="353"/>
      <c r="D7" s="353"/>
      <c r="E7" s="353"/>
      <c r="F7" s="353"/>
    </row>
    <row r="8" spans="1:11" s="94" customFormat="1" ht="3" customHeight="1"/>
    <row r="9" spans="1:11" ht="11" customHeight="1">
      <c r="A9" s="79" t="s">
        <v>1154</v>
      </c>
      <c r="B9" s="79" t="s">
        <v>1153</v>
      </c>
      <c r="C9" s="79" t="s">
        <v>1152</v>
      </c>
      <c r="D9" s="79" t="s">
        <v>1151</v>
      </c>
      <c r="E9" s="79" t="s">
        <v>1239</v>
      </c>
      <c r="F9" s="79" t="s">
        <v>1240</v>
      </c>
    </row>
    <row r="10" spans="1:11" ht="15.75" customHeight="1">
      <c r="A10" s="92">
        <v>1</v>
      </c>
      <c r="B10" s="91" t="s">
        <v>1149</v>
      </c>
      <c r="C10" s="90" t="s">
        <v>1120</v>
      </c>
      <c r="D10" s="79">
        <v>0.49099999999999999</v>
      </c>
      <c r="E10" s="79" t="s">
        <v>1150</v>
      </c>
      <c r="F10" s="78">
        <f t="shared" ref="F10:F22" si="0">D10*E10</f>
        <v>86.906999999999996</v>
      </c>
      <c r="H10" s="89" t="s">
        <v>1149</v>
      </c>
      <c r="I10" s="88" t="s">
        <v>1120</v>
      </c>
      <c r="J10" s="93" t="s">
        <v>1148</v>
      </c>
      <c r="K10" s="86"/>
    </row>
    <row r="11" spans="1:11" ht="15" customHeight="1">
      <c r="A11" s="92">
        <v>2</v>
      </c>
      <c r="B11" s="91" t="s">
        <v>1146</v>
      </c>
      <c r="C11" s="90" t="s">
        <v>1120</v>
      </c>
      <c r="D11" s="79">
        <v>0.24</v>
      </c>
      <c r="E11" s="79" t="s">
        <v>1147</v>
      </c>
      <c r="F11" s="78">
        <f t="shared" si="0"/>
        <v>42.239999999999995</v>
      </c>
      <c r="H11" s="89" t="s">
        <v>1146</v>
      </c>
      <c r="I11" s="88" t="s">
        <v>1120</v>
      </c>
      <c r="J11" s="93" t="s">
        <v>1145</v>
      </c>
      <c r="K11" s="86"/>
    </row>
    <row r="12" spans="1:11" ht="15" customHeight="1">
      <c r="A12" s="92">
        <v>3</v>
      </c>
      <c r="B12" s="91" t="s">
        <v>1144</v>
      </c>
      <c r="C12" s="90" t="s">
        <v>1140</v>
      </c>
      <c r="D12" s="79" t="s">
        <v>1142</v>
      </c>
      <c r="E12" s="79">
        <v>4.96</v>
      </c>
      <c r="F12" s="78">
        <f t="shared" si="0"/>
        <v>4.96</v>
      </c>
      <c r="H12" s="89" t="s">
        <v>1144</v>
      </c>
      <c r="I12" s="88" t="s">
        <v>1140</v>
      </c>
      <c r="J12" s="93" t="s">
        <v>1142</v>
      </c>
      <c r="K12" s="86"/>
    </row>
    <row r="13" spans="1:11" ht="27" customHeight="1">
      <c r="A13" s="92">
        <v>4</v>
      </c>
      <c r="B13" s="91" t="s">
        <v>1143</v>
      </c>
      <c r="C13" s="90" t="s">
        <v>1140</v>
      </c>
      <c r="D13" s="79" t="s">
        <v>1108</v>
      </c>
      <c r="E13" s="79">
        <v>2.4500000000000002</v>
      </c>
      <c r="F13" s="78">
        <f t="shared" si="0"/>
        <v>9.8000000000000007</v>
      </c>
      <c r="H13" s="89" t="s">
        <v>1143</v>
      </c>
      <c r="I13" s="88" t="s">
        <v>1140</v>
      </c>
      <c r="J13" s="93" t="s">
        <v>1108</v>
      </c>
      <c r="K13" s="86"/>
    </row>
    <row r="14" spans="1:11" ht="18" customHeight="1">
      <c r="A14" s="92">
        <v>5</v>
      </c>
      <c r="B14" s="91" t="s">
        <v>1141</v>
      </c>
      <c r="C14" s="90" t="s">
        <v>1140</v>
      </c>
      <c r="D14" s="79" t="s">
        <v>1142</v>
      </c>
      <c r="E14" s="79">
        <v>0.41</v>
      </c>
      <c r="F14" s="78">
        <f t="shared" si="0"/>
        <v>0.41</v>
      </c>
      <c r="H14" s="89" t="s">
        <v>1141</v>
      </c>
      <c r="I14" s="88" t="s">
        <v>1140</v>
      </c>
      <c r="J14" s="93" t="s">
        <v>1139</v>
      </c>
      <c r="K14" s="86"/>
    </row>
    <row r="15" spans="1:11" ht="15.75" customHeight="1">
      <c r="A15" s="92">
        <v>6</v>
      </c>
      <c r="B15" s="91" t="s">
        <v>1247</v>
      </c>
      <c r="C15" s="90" t="s">
        <v>1120</v>
      </c>
      <c r="D15" s="79">
        <v>0.496</v>
      </c>
      <c r="E15" s="79" t="s">
        <v>1138</v>
      </c>
      <c r="F15" s="78">
        <f t="shared" si="0"/>
        <v>39.68</v>
      </c>
      <c r="H15" s="89" t="s">
        <v>1137</v>
      </c>
      <c r="I15" s="88" t="s">
        <v>1120</v>
      </c>
      <c r="J15" s="93" t="s">
        <v>1136</v>
      </c>
      <c r="K15" s="86"/>
    </row>
    <row r="16" spans="1:11" ht="17.25" customHeight="1">
      <c r="A16" s="92">
        <v>7</v>
      </c>
      <c r="B16" s="91" t="s">
        <v>1135</v>
      </c>
      <c r="C16" s="90" t="s">
        <v>1120</v>
      </c>
      <c r="D16" s="79">
        <v>0.89200000000000002</v>
      </c>
      <c r="E16" s="79">
        <v>213.1</v>
      </c>
      <c r="F16" s="78">
        <f t="shared" si="0"/>
        <v>190.08519999999999</v>
      </c>
      <c r="H16" s="89" t="s">
        <v>1135</v>
      </c>
      <c r="I16" s="88" t="s">
        <v>1120</v>
      </c>
      <c r="J16" s="87" t="s">
        <v>1134</v>
      </c>
      <c r="K16" s="86"/>
    </row>
    <row r="17" spans="1:11" ht="17.25" customHeight="1">
      <c r="A17" s="92">
        <v>8</v>
      </c>
      <c r="B17" s="91" t="s">
        <v>1248</v>
      </c>
      <c r="C17" s="90" t="s">
        <v>1120</v>
      </c>
      <c r="D17" s="79">
        <v>5.7519999999999998</v>
      </c>
      <c r="E17" s="79" t="s">
        <v>1133</v>
      </c>
      <c r="F17" s="78">
        <f t="shared" si="0"/>
        <v>402.64</v>
      </c>
      <c r="H17" s="89" t="s">
        <v>1132</v>
      </c>
      <c r="I17" s="88" t="s">
        <v>1120</v>
      </c>
      <c r="J17" s="93" t="s">
        <v>1131</v>
      </c>
      <c r="K17" s="86"/>
    </row>
    <row r="18" spans="1:11" ht="18" customHeight="1">
      <c r="A18" s="92">
        <v>9</v>
      </c>
      <c r="B18" s="91" t="s">
        <v>1245</v>
      </c>
      <c r="C18" s="90" t="s">
        <v>1120</v>
      </c>
      <c r="D18" s="79">
        <v>0.54</v>
      </c>
      <c r="E18" s="79">
        <v>68.75</v>
      </c>
      <c r="F18" s="78">
        <f t="shared" si="0"/>
        <v>37.125</v>
      </c>
      <c r="H18" s="89" t="s">
        <v>1130</v>
      </c>
      <c r="I18" s="88" t="s">
        <v>1120</v>
      </c>
      <c r="J18" s="93" t="s">
        <v>1129</v>
      </c>
      <c r="K18" s="86"/>
    </row>
    <row r="19" spans="1:11" ht="18" customHeight="1">
      <c r="A19" s="92">
        <v>10</v>
      </c>
      <c r="B19" s="91" t="s">
        <v>1249</v>
      </c>
      <c r="C19" s="90" t="s">
        <v>1120</v>
      </c>
      <c r="D19" s="79">
        <v>8.1159999999999997</v>
      </c>
      <c r="E19" s="79">
        <v>66.67</v>
      </c>
      <c r="F19" s="78">
        <f t="shared" si="0"/>
        <v>541.09371999999996</v>
      </c>
      <c r="H19" s="89" t="s">
        <v>1128</v>
      </c>
      <c r="I19" s="88" t="s">
        <v>1120</v>
      </c>
      <c r="J19" s="87" t="s">
        <v>1127</v>
      </c>
      <c r="K19" s="86"/>
    </row>
    <row r="20" spans="1:11" ht="18.75" customHeight="1">
      <c r="A20" s="92">
        <v>11</v>
      </c>
      <c r="B20" s="91" t="s">
        <v>1250</v>
      </c>
      <c r="C20" s="90" t="s">
        <v>1120</v>
      </c>
      <c r="D20" s="79">
        <v>1.804</v>
      </c>
      <c r="E20" s="79">
        <v>66.67</v>
      </c>
      <c r="F20" s="78">
        <f t="shared" si="0"/>
        <v>120.27268000000001</v>
      </c>
      <c r="H20" s="89" t="s">
        <v>1126</v>
      </c>
      <c r="I20" s="88" t="s">
        <v>1120</v>
      </c>
      <c r="J20" s="93" t="s">
        <v>1125</v>
      </c>
      <c r="K20" s="86"/>
    </row>
    <row r="21" spans="1:11" ht="15.75" customHeight="1">
      <c r="A21" s="92">
        <v>12</v>
      </c>
      <c r="B21" s="91" t="s">
        <v>1243</v>
      </c>
      <c r="C21" s="90" t="s">
        <v>1120</v>
      </c>
      <c r="D21" s="79">
        <v>1.4239999999999999</v>
      </c>
      <c r="E21" s="79">
        <v>69.17</v>
      </c>
      <c r="F21" s="78">
        <f t="shared" si="0"/>
        <v>98.498080000000002</v>
      </c>
      <c r="H21" s="89" t="s">
        <v>1124</v>
      </c>
      <c r="I21" s="88" t="s">
        <v>1120</v>
      </c>
      <c r="J21" s="87" t="s">
        <v>1123</v>
      </c>
      <c r="K21" s="86"/>
    </row>
    <row r="22" spans="1:11" ht="21" customHeight="1">
      <c r="A22" s="92">
        <v>13</v>
      </c>
      <c r="B22" s="91" t="s">
        <v>1121</v>
      </c>
      <c r="C22" s="90" t="s">
        <v>1120</v>
      </c>
      <c r="D22" s="79">
        <v>3.5000000000000003E-2</v>
      </c>
      <c r="E22" s="79" t="s">
        <v>1122</v>
      </c>
      <c r="F22" s="78">
        <f t="shared" si="0"/>
        <v>10.15</v>
      </c>
      <c r="H22" s="89" t="s">
        <v>1121</v>
      </c>
      <c r="I22" s="88" t="s">
        <v>1120</v>
      </c>
      <c r="J22" s="87" t="s">
        <v>1119</v>
      </c>
      <c r="K22" s="86"/>
    </row>
    <row r="23" spans="1:11" ht="32.25" customHeight="1">
      <c r="A23" s="85"/>
      <c r="B23" s="77" t="s">
        <v>1118</v>
      </c>
      <c r="C23" s="77"/>
      <c r="D23" s="77"/>
      <c r="E23" s="77"/>
      <c r="F23" s="74">
        <f>SUM(F10:F22)</f>
        <v>1583.8616800000002</v>
      </c>
    </row>
    <row r="24" spans="1:11" ht="18.75" customHeight="1">
      <c r="A24" s="84"/>
      <c r="B24" s="76" t="s">
        <v>1117</v>
      </c>
      <c r="C24" s="76"/>
      <c r="D24" s="76"/>
      <c r="E24" s="80">
        <v>0.01</v>
      </c>
      <c r="F24" s="78">
        <f>F23*E24</f>
        <v>15.838616800000002</v>
      </c>
    </row>
    <row r="25" spans="1:11" ht="27.75" customHeight="1">
      <c r="A25" s="83"/>
      <c r="B25" s="77" t="s">
        <v>1116</v>
      </c>
      <c r="C25" s="77"/>
      <c r="D25" s="77"/>
      <c r="E25" s="77"/>
      <c r="F25" s="74">
        <f>SUM(F23,F24)</f>
        <v>1599.7002968000002</v>
      </c>
    </row>
    <row r="26" spans="1:11" ht="26.25" customHeight="1">
      <c r="A26" s="76" t="s">
        <v>1115</v>
      </c>
      <c r="B26" s="76" t="s">
        <v>1114</v>
      </c>
      <c r="C26" s="76"/>
      <c r="D26" s="76"/>
      <c r="E26" s="80">
        <v>0.11</v>
      </c>
      <c r="F26" s="78">
        <f>F25*E26</f>
        <v>175.96703264800001</v>
      </c>
    </row>
    <row r="27" spans="1:11" ht="20.25" customHeight="1">
      <c r="A27" s="76"/>
      <c r="B27" s="81" t="s">
        <v>1113</v>
      </c>
      <c r="C27" s="76"/>
      <c r="D27" s="76"/>
      <c r="E27" s="80">
        <v>0.14000000000000001</v>
      </c>
      <c r="F27" s="78">
        <f>F26*E27</f>
        <v>24.635384570720003</v>
      </c>
    </row>
    <row r="28" spans="1:11" ht="22.5" customHeight="1">
      <c r="A28" s="76"/>
      <c r="B28" s="81" t="s">
        <v>1112</v>
      </c>
      <c r="C28" s="76"/>
      <c r="D28" s="76"/>
      <c r="E28" s="82">
        <v>0.309</v>
      </c>
      <c r="F28" s="78">
        <f>(F26+F27)*E28</f>
        <v>61.986146920584481</v>
      </c>
    </row>
    <row r="29" spans="1:11" ht="18" customHeight="1">
      <c r="A29" s="76"/>
      <c r="B29" s="81" t="s">
        <v>1111</v>
      </c>
      <c r="C29" s="76"/>
      <c r="D29" s="76"/>
      <c r="E29" s="82">
        <v>0</v>
      </c>
      <c r="F29" s="78">
        <v>0</v>
      </c>
    </row>
    <row r="30" spans="1:11" ht="21" customHeight="1">
      <c r="A30" s="76" t="s">
        <v>1110</v>
      </c>
      <c r="B30" s="81" t="s">
        <v>1109</v>
      </c>
      <c r="C30" s="76"/>
      <c r="D30" s="76"/>
      <c r="E30" s="80">
        <v>1.5</v>
      </c>
      <c r="F30" s="78">
        <f>F26*E30</f>
        <v>263.95054897200004</v>
      </c>
    </row>
    <row r="31" spans="1:11" ht="21.75" customHeight="1">
      <c r="A31" s="76" t="s">
        <v>1108</v>
      </c>
      <c r="B31" s="76" t="s">
        <v>1107</v>
      </c>
      <c r="C31" s="76"/>
      <c r="D31" s="76"/>
      <c r="E31" s="79"/>
      <c r="F31" s="78">
        <f>F25+F26+F27+F28+F29+F30</f>
        <v>2126.2394099113048</v>
      </c>
    </row>
    <row r="32" spans="1:11" ht="18" customHeight="1">
      <c r="A32" s="76" t="s">
        <v>1106</v>
      </c>
      <c r="B32" s="76" t="s">
        <v>1105</v>
      </c>
      <c r="C32" s="76"/>
      <c r="D32" s="76"/>
      <c r="E32" s="80">
        <v>1</v>
      </c>
      <c r="F32" s="78">
        <f>F26*E32</f>
        <v>175.96703264800001</v>
      </c>
    </row>
    <row r="33" spans="1:6" ht="19.5" customHeight="1">
      <c r="A33" s="76"/>
      <c r="B33" s="76"/>
      <c r="C33" s="76"/>
      <c r="D33" s="76"/>
      <c r="E33" s="80">
        <v>0.8</v>
      </c>
      <c r="F33" s="78">
        <f>F26*E33</f>
        <v>140.77362611840002</v>
      </c>
    </row>
    <row r="34" spans="1:6" ht="19.5" customHeight="1">
      <c r="A34" s="76" t="s">
        <v>1104</v>
      </c>
      <c r="B34" s="76" t="s">
        <v>1103</v>
      </c>
      <c r="C34" s="76"/>
      <c r="D34" s="76"/>
      <c r="E34" s="79"/>
      <c r="F34" s="78">
        <f>F31+F32</f>
        <v>2302.2064425593048</v>
      </c>
    </row>
    <row r="35" spans="1:6" ht="15.75" customHeight="1">
      <c r="A35" s="76"/>
      <c r="B35" s="76"/>
      <c r="C35" s="76"/>
      <c r="D35" s="76"/>
      <c r="E35" s="79"/>
      <c r="F35" s="78">
        <f>F31+F33</f>
        <v>2267.0130360297048</v>
      </c>
    </row>
    <row r="36" spans="1:6" ht="21.75" customHeight="1">
      <c r="A36" s="76" t="s">
        <v>1102</v>
      </c>
      <c r="B36" s="76" t="s">
        <v>83</v>
      </c>
      <c r="C36" s="76"/>
      <c r="D36" s="76"/>
      <c r="E36" s="80">
        <v>0.4</v>
      </c>
      <c r="F36" s="78">
        <f>F34*E36</f>
        <v>920.88257702372198</v>
      </c>
    </row>
    <row r="37" spans="1:6" ht="21" customHeight="1">
      <c r="A37" s="76"/>
      <c r="B37" s="76"/>
      <c r="C37" s="76"/>
      <c r="D37" s="76"/>
      <c r="E37" s="80">
        <v>7.0000000000000007E-2</v>
      </c>
      <c r="F37" s="78">
        <f>F35*E37</f>
        <v>158.69091252207934</v>
      </c>
    </row>
    <row r="38" spans="1:6" ht="17.25" customHeight="1">
      <c r="A38" s="76" t="s">
        <v>1101</v>
      </c>
      <c r="B38" s="76" t="s">
        <v>1100</v>
      </c>
      <c r="C38" s="76"/>
      <c r="D38" s="76"/>
      <c r="E38" s="79"/>
      <c r="F38" s="78">
        <v>65.45</v>
      </c>
    </row>
    <row r="39" spans="1:6" ht="22.5" customHeight="1">
      <c r="A39" s="76"/>
      <c r="B39" s="76" t="s">
        <v>1099</v>
      </c>
      <c r="C39" s="76"/>
      <c r="D39" s="76"/>
      <c r="E39" s="79"/>
      <c r="F39" s="78">
        <f>F34+F36+F38</f>
        <v>3288.5390195830269</v>
      </c>
    </row>
    <row r="40" spans="1:6" ht="16.5" customHeight="1">
      <c r="A40" s="76"/>
      <c r="B40" s="76"/>
      <c r="C40" s="76"/>
      <c r="D40" s="76"/>
      <c r="E40" s="79"/>
      <c r="F40" s="78">
        <f>F35+F37+F38</f>
        <v>2491.1539485517842</v>
      </c>
    </row>
    <row r="41" spans="1:6" ht="12" customHeight="1">
      <c r="A41" s="76"/>
      <c r="B41" s="76" t="s">
        <v>1098</v>
      </c>
      <c r="C41" s="76"/>
      <c r="D41" s="76"/>
      <c r="E41" s="80">
        <v>0.22</v>
      </c>
      <c r="F41" s="78">
        <f>F39*E41</f>
        <v>723.47858430826591</v>
      </c>
    </row>
    <row r="42" spans="1:6" ht="13.5" customHeight="1">
      <c r="A42" s="76"/>
      <c r="B42" s="76"/>
      <c r="C42" s="76"/>
      <c r="D42" s="76"/>
      <c r="E42" s="80">
        <v>0.22</v>
      </c>
      <c r="F42" s="78">
        <f>F40*E42</f>
        <v>548.05386868139249</v>
      </c>
    </row>
    <row r="43" spans="1:6" ht="15" customHeight="1">
      <c r="A43" s="76"/>
      <c r="B43" s="77" t="s">
        <v>1097</v>
      </c>
      <c r="C43" s="76"/>
      <c r="D43" s="76"/>
      <c r="E43" s="75" t="s">
        <v>1096</v>
      </c>
      <c r="F43" s="74">
        <f>F39+F41</f>
        <v>4012.0176038912928</v>
      </c>
    </row>
    <row r="44" spans="1:6" ht="17.25" customHeight="1">
      <c r="A44" s="76"/>
      <c r="B44" s="76"/>
      <c r="C44" s="76"/>
      <c r="D44" s="76"/>
      <c r="E44" s="75" t="s">
        <v>1095</v>
      </c>
      <c r="F44" s="74">
        <f>F40+F42</f>
        <v>3039.2078172331767</v>
      </c>
    </row>
    <row r="45" spans="1:6" ht="11" customHeight="1"/>
    <row r="46" spans="1:6" ht="11" customHeight="1"/>
    <row r="47" spans="1:6" ht="11" customHeight="1">
      <c r="B47" s="73" t="s">
        <v>1094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pageOrder="overThenDown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7BB7F-E072-E34B-9905-B592B808E347}">
  <dimension ref="A1:X32"/>
  <sheetViews>
    <sheetView topLeftCell="A10" workbookViewId="0">
      <selection activeCell="W30" sqref="W30:W31"/>
    </sheetView>
  </sheetViews>
  <sheetFormatPr baseColWidth="10" defaultRowHeight="16"/>
  <sheetData>
    <row r="1" spans="1:19" ht="29">
      <c r="A1" s="354" t="s">
        <v>1404</v>
      </c>
      <c r="B1" s="354"/>
      <c r="C1" s="354"/>
      <c r="D1" s="354"/>
      <c r="E1" s="354"/>
      <c r="F1" s="354"/>
      <c r="G1" s="354"/>
    </row>
    <row r="2" spans="1:19" ht="21">
      <c r="A2" s="16" t="s">
        <v>1398</v>
      </c>
      <c r="L2" s="16" t="s">
        <v>1399</v>
      </c>
    </row>
    <row r="3" spans="1:19" ht="60">
      <c r="A3" s="195" t="s">
        <v>1154</v>
      </c>
      <c r="B3" s="196" t="s">
        <v>1153</v>
      </c>
      <c r="C3" s="197" t="s">
        <v>1275</v>
      </c>
      <c r="D3" s="197" t="s">
        <v>1276</v>
      </c>
      <c r="E3" s="197" t="s">
        <v>1277</v>
      </c>
      <c r="F3" s="198" t="s">
        <v>1278</v>
      </c>
      <c r="G3" s="199" t="s">
        <v>1279</v>
      </c>
      <c r="H3" s="200"/>
      <c r="L3" s="195" t="s">
        <v>1154</v>
      </c>
      <c r="M3" s="196" t="s">
        <v>1153</v>
      </c>
      <c r="N3" s="197" t="s">
        <v>1275</v>
      </c>
      <c r="O3" s="197" t="s">
        <v>1276</v>
      </c>
      <c r="P3" s="197" t="s">
        <v>1277</v>
      </c>
      <c r="Q3" s="198" t="s">
        <v>1278</v>
      </c>
      <c r="R3" s="199" t="s">
        <v>1279</v>
      </c>
      <c r="S3" s="227"/>
    </row>
    <row r="4" spans="1:19">
      <c r="A4" s="201"/>
      <c r="B4" s="1" t="s">
        <v>1395</v>
      </c>
      <c r="C4" s="202" t="s">
        <v>1120</v>
      </c>
      <c r="D4" s="203">
        <v>1.4403180000000002</v>
      </c>
      <c r="E4" s="204">
        <v>55</v>
      </c>
      <c r="F4" s="205">
        <f t="shared" ref="F4:F7" si="0">D4*E4</f>
        <v>79.217490000000012</v>
      </c>
      <c r="G4" s="199"/>
      <c r="H4" s="200"/>
      <c r="L4" s="355">
        <v>1</v>
      </c>
      <c r="M4" s="220" t="s">
        <v>1397</v>
      </c>
      <c r="N4" s="202" t="s">
        <v>1120</v>
      </c>
      <c r="O4" s="203">
        <v>1.636725</v>
      </c>
      <c r="P4" s="319">
        <v>50.82</v>
      </c>
      <c r="Q4" s="205">
        <f>O4*P4</f>
        <v>83.178364500000001</v>
      </c>
      <c r="R4" s="228"/>
    </row>
    <row r="5" spans="1:19">
      <c r="A5" s="351"/>
      <c r="B5" s="1" t="s">
        <v>1392</v>
      </c>
      <c r="C5" s="202" t="s">
        <v>1120</v>
      </c>
      <c r="D5" s="203">
        <v>0.39721000000000006</v>
      </c>
      <c r="E5" s="204">
        <v>55</v>
      </c>
      <c r="F5" s="205">
        <f t="shared" si="0"/>
        <v>21.846550000000004</v>
      </c>
      <c r="G5" s="206"/>
      <c r="L5" s="351"/>
      <c r="M5" s="220" t="s">
        <v>1295</v>
      </c>
      <c r="N5" s="202" t="s">
        <v>1120</v>
      </c>
      <c r="O5" s="203">
        <v>0.24054346799999998</v>
      </c>
      <c r="P5" s="319">
        <v>61.48</v>
      </c>
      <c r="Q5" s="205">
        <f t="shared" ref="Q5:Q11" si="1">O5*P5</f>
        <v>14.788612412639997</v>
      </c>
      <c r="R5" s="228"/>
    </row>
    <row r="6" spans="1:19">
      <c r="A6" s="351"/>
      <c r="B6" s="1" t="s">
        <v>1393</v>
      </c>
      <c r="C6" s="202" t="s">
        <v>1120</v>
      </c>
      <c r="D6" s="203">
        <v>0.13143160800000003</v>
      </c>
      <c r="E6" s="204">
        <v>65.83</v>
      </c>
      <c r="F6" s="205">
        <f t="shared" si="0"/>
        <v>8.6521427546400016</v>
      </c>
      <c r="G6" s="206"/>
      <c r="L6" s="351"/>
      <c r="M6" s="220" t="s">
        <v>1126</v>
      </c>
      <c r="N6" s="202" t="s">
        <v>1120</v>
      </c>
      <c r="O6" s="203">
        <v>0.45137500000000003</v>
      </c>
      <c r="P6" s="319">
        <v>50.82</v>
      </c>
      <c r="Q6" s="205">
        <f t="shared" si="1"/>
        <v>22.9388775</v>
      </c>
    </row>
    <row r="7" spans="1:19">
      <c r="A7" s="351"/>
      <c r="B7" s="1" t="s">
        <v>1282</v>
      </c>
      <c r="C7" s="202" t="s">
        <v>1120</v>
      </c>
      <c r="D7" s="203">
        <v>0.14833011199999999</v>
      </c>
      <c r="E7" s="204">
        <v>211.42</v>
      </c>
      <c r="F7" s="205">
        <f t="shared" si="0"/>
        <v>31.359952279039994</v>
      </c>
      <c r="G7" s="207">
        <v>0.13300000000000001</v>
      </c>
      <c r="L7" s="351"/>
      <c r="M7" s="220" t="s">
        <v>1282</v>
      </c>
      <c r="N7" s="202" t="s">
        <v>1120</v>
      </c>
      <c r="O7" s="203">
        <v>0.14833011200000001</v>
      </c>
      <c r="P7" s="319">
        <v>208.95</v>
      </c>
      <c r="Q7" s="205">
        <f>O7*P7</f>
        <v>30.993576902400001</v>
      </c>
      <c r="R7" s="206">
        <v>0.13300000000000001</v>
      </c>
    </row>
    <row r="8" spans="1:19">
      <c r="A8" s="351"/>
      <c r="B8" s="1" t="s">
        <v>1283</v>
      </c>
      <c r="C8" s="202" t="s">
        <v>1177</v>
      </c>
      <c r="D8" s="203">
        <v>1.1152639999999998</v>
      </c>
      <c r="E8" s="204">
        <v>290</v>
      </c>
      <c r="F8" s="205">
        <f>D8*E8*G8/1000</f>
        <v>1.6171327999999996</v>
      </c>
      <c r="G8" s="207">
        <v>5</v>
      </c>
      <c r="L8" s="351"/>
      <c r="M8" s="220" t="s">
        <v>1283</v>
      </c>
      <c r="N8" s="202" t="s">
        <v>1177</v>
      </c>
      <c r="O8" s="203">
        <v>1.115264</v>
      </c>
      <c r="P8" s="319">
        <v>290</v>
      </c>
      <c r="Q8" s="205">
        <f>O8*P8*R8/1000</f>
        <v>1.6171327999999998</v>
      </c>
      <c r="R8" s="206">
        <v>5</v>
      </c>
    </row>
    <row r="9" spans="1:19">
      <c r="A9" s="351"/>
      <c r="B9" s="1" t="s">
        <v>1149</v>
      </c>
      <c r="C9" s="202" t="s">
        <v>1284</v>
      </c>
      <c r="D9" s="202">
        <v>8</v>
      </c>
      <c r="E9" s="204">
        <v>0.91</v>
      </c>
      <c r="F9" s="205">
        <f t="shared" ref="F9:F10" si="2">D9*E9</f>
        <v>7.28</v>
      </c>
      <c r="G9" s="207"/>
      <c r="L9" s="351"/>
      <c r="M9" s="229" t="s">
        <v>1149</v>
      </c>
      <c r="N9" s="202" t="s">
        <v>1120</v>
      </c>
      <c r="O9" s="203">
        <v>4.0960000000000003E-2</v>
      </c>
      <c r="P9" s="319">
        <v>180</v>
      </c>
      <c r="Q9" s="205">
        <f t="shared" si="1"/>
        <v>7.3728000000000007</v>
      </c>
      <c r="R9" s="228"/>
    </row>
    <row r="10" spans="1:19">
      <c r="A10" s="351"/>
      <c r="B10" s="1" t="s">
        <v>1146</v>
      </c>
      <c r="C10" s="202" t="s">
        <v>1284</v>
      </c>
      <c r="D10" s="202">
        <v>8</v>
      </c>
      <c r="E10" s="204">
        <v>0.46</v>
      </c>
      <c r="F10" s="205">
        <f t="shared" si="2"/>
        <v>3.68</v>
      </c>
      <c r="G10" s="207"/>
      <c r="L10" s="351"/>
      <c r="M10" s="229" t="s">
        <v>1146</v>
      </c>
      <c r="N10" s="202" t="s">
        <v>1120</v>
      </c>
      <c r="O10" s="203">
        <v>0.02</v>
      </c>
      <c r="P10" s="319">
        <v>179</v>
      </c>
      <c r="Q10" s="205">
        <f t="shared" si="1"/>
        <v>3.58</v>
      </c>
      <c r="R10" s="228"/>
    </row>
    <row r="11" spans="1:19" ht="45">
      <c r="A11" s="351"/>
      <c r="B11" s="208" t="s">
        <v>1118</v>
      </c>
      <c r="C11" s="209"/>
      <c r="D11" s="210"/>
      <c r="E11" s="211"/>
      <c r="F11" s="212">
        <f>SUM(F4:F10)</f>
        <v>153.65326783368002</v>
      </c>
      <c r="L11" s="351"/>
      <c r="M11" s="229" t="s">
        <v>1296</v>
      </c>
      <c r="N11" s="202" t="s">
        <v>1140</v>
      </c>
      <c r="O11" s="202">
        <v>2</v>
      </c>
      <c r="P11" s="319">
        <v>0.25</v>
      </c>
      <c r="Q11" s="205">
        <f t="shared" si="1"/>
        <v>0.5</v>
      </c>
      <c r="R11" s="228"/>
    </row>
    <row r="12" spans="1:19" ht="45">
      <c r="A12" s="351"/>
      <c r="B12" s="213" t="s">
        <v>1285</v>
      </c>
      <c r="C12" s="214"/>
      <c r="D12" s="202"/>
      <c r="E12" s="215">
        <v>0.01</v>
      </c>
      <c r="F12" s="205">
        <f>F11*E12</f>
        <v>1.5365326783368003</v>
      </c>
      <c r="L12" s="351"/>
      <c r="M12" s="208" t="s">
        <v>1118</v>
      </c>
      <c r="N12" s="209"/>
      <c r="O12" s="210"/>
      <c r="P12" s="211"/>
      <c r="Q12" s="212">
        <f>SUM(Q4:Q11)</f>
        <v>164.96936411504004</v>
      </c>
    </row>
    <row r="13" spans="1:19" ht="30">
      <c r="A13" s="352"/>
      <c r="B13" s="208" t="s">
        <v>1286</v>
      </c>
      <c r="C13" s="214"/>
      <c r="D13" s="202"/>
      <c r="E13" s="202"/>
      <c r="F13" s="212">
        <f>SUM(F11:F12)</f>
        <v>155.18980051201683</v>
      </c>
      <c r="L13" s="351"/>
      <c r="M13" s="213" t="s">
        <v>1285</v>
      </c>
      <c r="N13" s="214"/>
      <c r="O13" s="202"/>
      <c r="P13" s="215">
        <v>0.01</v>
      </c>
      <c r="Q13" s="205">
        <f>Q12*P13</f>
        <v>1.6496936411504004</v>
      </c>
    </row>
    <row r="14" spans="1:19" ht="60">
      <c r="A14" s="195">
        <v>2</v>
      </c>
      <c r="B14" s="208" t="s">
        <v>1114</v>
      </c>
      <c r="C14" s="214"/>
      <c r="D14" s="202"/>
      <c r="E14" s="215">
        <v>0.14000000000000001</v>
      </c>
      <c r="F14" s="205">
        <f>F13*E14</f>
        <v>21.726572071682359</v>
      </c>
      <c r="L14" s="352"/>
      <c r="M14" s="208" t="s">
        <v>1286</v>
      </c>
      <c r="N14" s="214"/>
      <c r="O14" s="202"/>
      <c r="P14" s="202"/>
      <c r="Q14" s="212">
        <f>SUM(Q12:Q13)</f>
        <v>166.61905775619044</v>
      </c>
    </row>
    <row r="15" spans="1:19" ht="60">
      <c r="A15" s="195"/>
      <c r="B15" s="213" t="s">
        <v>1113</v>
      </c>
      <c r="C15" s="214"/>
      <c r="D15" s="202"/>
      <c r="E15" s="215">
        <v>0.14000000000000001</v>
      </c>
      <c r="F15" s="205">
        <f>F14*E15</f>
        <v>3.0417200900355303</v>
      </c>
      <c r="L15" s="195">
        <v>2</v>
      </c>
      <c r="M15" s="208" t="s">
        <v>1114</v>
      </c>
      <c r="N15" s="214"/>
      <c r="O15" s="202"/>
      <c r="P15" s="215">
        <v>0.14000000000000001</v>
      </c>
      <c r="Q15" s="205">
        <f>Q14*P15</f>
        <v>23.326668085866665</v>
      </c>
    </row>
    <row r="16" spans="1:19" ht="60">
      <c r="A16" s="195"/>
      <c r="B16" s="213" t="s">
        <v>1287</v>
      </c>
      <c r="C16" s="214"/>
      <c r="D16" s="202"/>
      <c r="E16" s="215"/>
      <c r="F16" s="205">
        <f>(F14+F15)*31.3%</f>
        <v>7.7524754466176988</v>
      </c>
      <c r="L16" s="195"/>
      <c r="M16" s="213" t="s">
        <v>1113</v>
      </c>
      <c r="N16" s="214"/>
      <c r="O16" s="202"/>
      <c r="P16" s="215">
        <v>0.14000000000000001</v>
      </c>
      <c r="Q16" s="205">
        <f>Q15*P16</f>
        <v>3.2657335320213332</v>
      </c>
    </row>
    <row r="17" spans="1:24" ht="90">
      <c r="A17" s="195">
        <v>3</v>
      </c>
      <c r="B17" s="208" t="s">
        <v>1109</v>
      </c>
      <c r="C17" s="214"/>
      <c r="D17" s="202"/>
      <c r="E17" s="215">
        <v>1.5</v>
      </c>
      <c r="F17" s="205">
        <f>F14*E17</f>
        <v>32.58985810752354</v>
      </c>
      <c r="L17" s="195"/>
      <c r="M17" s="213" t="s">
        <v>1287</v>
      </c>
      <c r="N17" s="214"/>
      <c r="O17" s="202"/>
      <c r="P17" s="215"/>
      <c r="Q17" s="205">
        <f>(Q15+Q16)*30.9%</f>
        <v>8.2170520999273915</v>
      </c>
    </row>
    <row r="18" spans="1:24" ht="90">
      <c r="A18" s="195">
        <v>4</v>
      </c>
      <c r="B18" s="208" t="s">
        <v>1107</v>
      </c>
      <c r="C18" s="214"/>
      <c r="D18" s="202"/>
      <c r="E18" s="216"/>
      <c r="F18" s="198">
        <f>F13+F14+F15+F16+F17</f>
        <v>220.30042622787596</v>
      </c>
      <c r="L18" s="195">
        <v>3</v>
      </c>
      <c r="M18" s="208" t="s">
        <v>1109</v>
      </c>
      <c r="N18" s="214"/>
      <c r="O18" s="202"/>
      <c r="P18" s="215">
        <v>1.5</v>
      </c>
      <c r="Q18" s="205">
        <f>Q15*P18</f>
        <v>34.9900021288</v>
      </c>
    </row>
    <row r="19" spans="1:24" ht="45">
      <c r="A19" s="195">
        <v>5</v>
      </c>
      <c r="B19" s="208" t="s">
        <v>1105</v>
      </c>
      <c r="C19" s="214"/>
      <c r="D19" s="202"/>
      <c r="E19" s="217">
        <v>1</v>
      </c>
      <c r="F19" s="218">
        <f>F14*E19</f>
        <v>21.726572071682359</v>
      </c>
      <c r="L19" s="195">
        <v>4</v>
      </c>
      <c r="M19" s="208" t="s">
        <v>1107</v>
      </c>
      <c r="N19" s="214"/>
      <c r="O19" s="202"/>
      <c r="P19" s="216"/>
      <c r="Q19" s="198">
        <f>Q14+Q15+Q16+Q17+Q18</f>
        <v>236.41851360280583</v>
      </c>
    </row>
    <row r="20" spans="1:24" ht="45">
      <c r="A20" s="195"/>
      <c r="B20" s="208"/>
      <c r="C20" s="214"/>
      <c r="D20" s="202"/>
      <c r="E20" s="217">
        <v>0.8</v>
      </c>
      <c r="F20" s="218">
        <f>F14*E20</f>
        <v>17.381257657345888</v>
      </c>
      <c r="L20" s="195">
        <v>5</v>
      </c>
      <c r="M20" s="208" t="s">
        <v>1105</v>
      </c>
      <c r="N20" s="214"/>
      <c r="O20" s="202"/>
      <c r="P20" s="217">
        <v>1</v>
      </c>
      <c r="Q20" s="218">
        <f>Q15*P20</f>
        <v>23.326668085866665</v>
      </c>
    </row>
    <row r="21" spans="1:24" ht="30">
      <c r="A21" s="195">
        <v>6</v>
      </c>
      <c r="B21" s="208" t="s">
        <v>1288</v>
      </c>
      <c r="C21" s="214"/>
      <c r="D21" s="202"/>
      <c r="E21" s="202"/>
      <c r="F21" s="218">
        <f>F18+F19</f>
        <v>242.02699829955833</v>
      </c>
      <c r="L21" s="195"/>
      <c r="M21" s="208"/>
      <c r="N21" s="214"/>
      <c r="O21" s="202"/>
      <c r="P21" s="217">
        <v>0.8</v>
      </c>
      <c r="Q21" s="218">
        <f>Q15*P21</f>
        <v>18.661334468693333</v>
      </c>
    </row>
    <row r="22" spans="1:24" ht="30">
      <c r="A22" s="195"/>
      <c r="B22" s="208"/>
      <c r="C22" s="214"/>
      <c r="D22" s="202"/>
      <c r="E22" s="202"/>
      <c r="F22" s="218">
        <f>F18+F20</f>
        <v>237.68168388522184</v>
      </c>
      <c r="L22" s="195">
        <v>6</v>
      </c>
      <c r="M22" s="208" t="s">
        <v>1288</v>
      </c>
      <c r="N22" s="214"/>
      <c r="O22" s="202"/>
      <c r="P22" s="202"/>
      <c r="Q22" s="218">
        <f>Q19+Q20</f>
        <v>259.74518168867252</v>
      </c>
    </row>
    <row r="23" spans="1:24">
      <c r="A23" s="195">
        <v>7</v>
      </c>
      <c r="B23" s="208" t="s">
        <v>83</v>
      </c>
      <c r="C23" s="214"/>
      <c r="D23" s="202"/>
      <c r="E23" s="215">
        <v>0.4</v>
      </c>
      <c r="F23" s="218">
        <f>F21*E23</f>
        <v>96.810799319823332</v>
      </c>
      <c r="L23" s="195"/>
      <c r="M23" s="208"/>
      <c r="N23" s="214"/>
      <c r="O23" s="202"/>
      <c r="P23" s="202"/>
      <c r="Q23" s="218">
        <f>Q19+Q21</f>
        <v>255.07984807149916</v>
      </c>
    </row>
    <row r="24" spans="1:24">
      <c r="A24" s="195"/>
      <c r="B24" s="208"/>
      <c r="C24" s="214"/>
      <c r="D24" s="202"/>
      <c r="E24" s="215">
        <v>7.0000000000000007E-2</v>
      </c>
      <c r="F24" s="218">
        <f>F22*E24</f>
        <v>16.637717871965531</v>
      </c>
      <c r="L24" s="195">
        <v>7</v>
      </c>
      <c r="M24" s="208" t="s">
        <v>83</v>
      </c>
      <c r="N24" s="214"/>
      <c r="O24" s="202"/>
      <c r="P24" s="215">
        <v>0.4</v>
      </c>
      <c r="Q24" s="218">
        <f>Q22*P24</f>
        <v>103.89807267546901</v>
      </c>
    </row>
    <row r="25" spans="1:24" ht="42">
      <c r="A25" s="195">
        <v>8</v>
      </c>
      <c r="B25" s="219" t="s">
        <v>1100</v>
      </c>
      <c r="C25" s="214"/>
      <c r="D25" s="202"/>
      <c r="E25" s="215"/>
      <c r="F25" s="218">
        <v>37</v>
      </c>
      <c r="H25" s="220" t="s">
        <v>1396</v>
      </c>
      <c r="I25" s="221" t="s">
        <v>1284</v>
      </c>
      <c r="J25" s="222">
        <v>0.33300000000000002</v>
      </c>
      <c r="L25" s="195"/>
      <c r="M25" s="208"/>
      <c r="N25" s="214"/>
      <c r="O25" s="202"/>
      <c r="P25" s="215">
        <v>0.05</v>
      </c>
      <c r="Q25" s="218">
        <f>Q23*P25</f>
        <v>12.753992403574959</v>
      </c>
    </row>
    <row r="26" spans="1:24" ht="42">
      <c r="A26" s="195">
        <v>9</v>
      </c>
      <c r="B26" s="219" t="s">
        <v>1099</v>
      </c>
      <c r="C26" s="214"/>
      <c r="D26" s="202"/>
      <c r="E26" s="216"/>
      <c r="F26" s="218">
        <f>F21+F23+F25</f>
        <v>375.83779761938166</v>
      </c>
      <c r="H26" s="220" t="s">
        <v>1298</v>
      </c>
      <c r="I26" s="221" t="s">
        <v>1290</v>
      </c>
      <c r="J26" s="222">
        <v>0.02</v>
      </c>
      <c r="L26" s="195">
        <v>8</v>
      </c>
      <c r="M26" s="219" t="s">
        <v>1100</v>
      </c>
      <c r="N26" s="214"/>
      <c r="O26" s="202"/>
      <c r="P26" s="215"/>
      <c r="Q26" s="218">
        <v>20</v>
      </c>
      <c r="S26" t="s">
        <v>1396</v>
      </c>
      <c r="T26" t="s">
        <v>1140</v>
      </c>
      <c r="U26" s="230">
        <v>0.33333333333333331</v>
      </c>
    </row>
    <row r="27" spans="1:24" ht="28">
      <c r="A27" s="195"/>
      <c r="B27" s="219"/>
      <c r="C27" s="214"/>
      <c r="D27" s="202"/>
      <c r="E27" s="216"/>
      <c r="F27" s="218">
        <f>F22+F24+F25</f>
        <v>291.31940175718739</v>
      </c>
      <c r="L27" s="195">
        <v>9</v>
      </c>
      <c r="M27" s="219" t="s">
        <v>1099</v>
      </c>
      <c r="N27" s="214"/>
      <c r="O27" s="202"/>
      <c r="P27" s="216"/>
      <c r="Q27" s="218">
        <f>Q22+Q24+Q26</f>
        <v>383.64325436414151</v>
      </c>
      <c r="S27" t="s">
        <v>1298</v>
      </c>
      <c r="T27" t="s">
        <v>1120</v>
      </c>
      <c r="U27" s="230">
        <v>1.7495625000000004E-2</v>
      </c>
    </row>
    <row r="28" spans="1:24">
      <c r="A28" s="195">
        <v>10</v>
      </c>
      <c r="B28" s="219" t="s">
        <v>1098</v>
      </c>
      <c r="C28" s="214"/>
      <c r="D28" s="202"/>
      <c r="E28" s="217">
        <v>0.22</v>
      </c>
      <c r="F28" s="218">
        <f>F26*E28</f>
        <v>82.684315476263961</v>
      </c>
      <c r="L28" s="195"/>
      <c r="M28" s="219"/>
      <c r="N28" s="214"/>
      <c r="O28" s="202"/>
      <c r="P28" s="216"/>
      <c r="Q28" s="218">
        <f>Q23+Q25+Q26</f>
        <v>287.83384047507411</v>
      </c>
    </row>
    <row r="29" spans="1:24">
      <c r="A29" s="195"/>
      <c r="B29" s="219"/>
      <c r="C29" s="214"/>
      <c r="D29" s="202"/>
      <c r="E29" s="217">
        <v>0.22</v>
      </c>
      <c r="F29" s="218">
        <f>F27*E29</f>
        <v>64.090268386581229</v>
      </c>
      <c r="L29" s="195">
        <v>10</v>
      </c>
      <c r="M29" s="219" t="s">
        <v>1098</v>
      </c>
      <c r="N29" s="214"/>
      <c r="O29" s="202"/>
      <c r="P29" s="217">
        <v>0.22</v>
      </c>
      <c r="Q29" s="218">
        <f>Q27*P29</f>
        <v>84.401515960111126</v>
      </c>
    </row>
    <row r="30" spans="1:24" ht="21">
      <c r="A30" s="195">
        <v>11</v>
      </c>
      <c r="B30" s="209" t="s">
        <v>1291</v>
      </c>
      <c r="C30" s="214"/>
      <c r="D30" s="214"/>
      <c r="E30" s="214" t="s">
        <v>1096</v>
      </c>
      <c r="F30" s="212">
        <f>F26+F28</f>
        <v>458.52211309564564</v>
      </c>
      <c r="L30" s="195"/>
      <c r="M30" s="219"/>
      <c r="N30" s="214"/>
      <c r="O30" s="202"/>
      <c r="P30" s="217">
        <v>0.22</v>
      </c>
      <c r="Q30" s="218">
        <f>Q28*P30</f>
        <v>63.323444904516307</v>
      </c>
      <c r="W30" s="322" t="s">
        <v>1400</v>
      </c>
      <c r="X30" s="320">
        <f>F31*4+Q32*4+17*4</f>
        <v>2894.2678220934358</v>
      </c>
    </row>
    <row r="31" spans="1:24" ht="21">
      <c r="A31" s="223"/>
      <c r="B31" s="223"/>
      <c r="C31" s="223"/>
      <c r="D31" s="223"/>
      <c r="E31" s="223" t="s">
        <v>1095</v>
      </c>
      <c r="F31" s="224">
        <f>F27+F29</f>
        <v>355.40967014376861</v>
      </c>
      <c r="L31" s="195">
        <v>11</v>
      </c>
      <c r="M31" s="209" t="s">
        <v>1291</v>
      </c>
      <c r="N31" s="214"/>
      <c r="O31" s="214"/>
      <c r="P31" s="214" t="s">
        <v>1096</v>
      </c>
      <c r="Q31" s="212">
        <f>Q27+Q29</f>
        <v>468.04477032425262</v>
      </c>
      <c r="W31" s="322" t="s">
        <v>1401</v>
      </c>
      <c r="X31" s="320">
        <f>F31*6+Q32*4+17*4</f>
        <v>3605.0871623809735</v>
      </c>
    </row>
    <row r="32" spans="1:24">
      <c r="L32" s="223"/>
      <c r="M32" s="223"/>
      <c r="N32" s="223"/>
      <c r="O32" s="223"/>
      <c r="P32" s="223" t="s">
        <v>1095</v>
      </c>
      <c r="Q32" s="224">
        <f>Q28+Q30</f>
        <v>351.15728537959041</v>
      </c>
    </row>
  </sheetData>
  <mergeCells count="3">
    <mergeCell ref="A1:G1"/>
    <mergeCell ref="A5:A13"/>
    <mergeCell ref="L4:L14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85B93-F522-5845-8510-4E940969E1EB}">
  <dimension ref="A1:U32"/>
  <sheetViews>
    <sheetView topLeftCell="B14" workbookViewId="0">
      <selection activeCell="T33" sqref="T33"/>
    </sheetView>
  </sheetViews>
  <sheetFormatPr baseColWidth="10" defaultRowHeight="16"/>
  <sheetData>
    <row r="1" spans="1:19" ht="29">
      <c r="A1" s="354" t="s">
        <v>1403</v>
      </c>
      <c r="B1" s="354"/>
      <c r="C1" s="354"/>
      <c r="D1" s="354"/>
      <c r="E1" s="354"/>
      <c r="F1" s="354"/>
      <c r="G1" s="354"/>
    </row>
    <row r="2" spans="1:19" ht="24">
      <c r="A2" s="321" t="s">
        <v>1398</v>
      </c>
      <c r="L2" s="321" t="s">
        <v>1399</v>
      </c>
    </row>
    <row r="3" spans="1:19" ht="60">
      <c r="A3" s="195" t="s">
        <v>1154</v>
      </c>
      <c r="B3" s="196" t="s">
        <v>1153</v>
      </c>
      <c r="C3" s="197" t="s">
        <v>1275</v>
      </c>
      <c r="D3" s="197" t="s">
        <v>1276</v>
      </c>
      <c r="E3" s="197" t="s">
        <v>1277</v>
      </c>
      <c r="F3" s="198" t="s">
        <v>1278</v>
      </c>
      <c r="G3" s="199" t="s">
        <v>1279</v>
      </c>
      <c r="H3" s="200"/>
      <c r="L3" s="195" t="s">
        <v>1154</v>
      </c>
      <c r="M3" s="196" t="s">
        <v>1153</v>
      </c>
      <c r="N3" s="197" t="s">
        <v>1275</v>
      </c>
      <c r="O3" s="197" t="s">
        <v>1276</v>
      </c>
      <c r="P3" s="197" t="s">
        <v>1277</v>
      </c>
      <c r="Q3" s="198" t="s">
        <v>1278</v>
      </c>
      <c r="R3" s="199" t="s">
        <v>1279</v>
      </c>
      <c r="S3" s="227"/>
    </row>
    <row r="4" spans="1:19">
      <c r="A4" s="201"/>
      <c r="B4" s="1" t="s">
        <v>1391</v>
      </c>
      <c r="C4" s="202" t="s">
        <v>1120</v>
      </c>
      <c r="D4" s="203">
        <v>2.476518</v>
      </c>
      <c r="E4" s="204">
        <v>55</v>
      </c>
      <c r="F4" s="205">
        <f t="shared" ref="F4:F7" si="0">D4*E4</f>
        <v>136.20849000000001</v>
      </c>
      <c r="G4" s="199"/>
      <c r="H4" s="200"/>
      <c r="L4" s="355">
        <v>1</v>
      </c>
      <c r="M4" s="220" t="s">
        <v>1397</v>
      </c>
      <c r="N4" s="202" t="s">
        <v>1120</v>
      </c>
      <c r="O4" s="203">
        <v>3.0956475000000006</v>
      </c>
      <c r="P4" s="319">
        <v>50.82</v>
      </c>
      <c r="Q4" s="205">
        <f>O4*P4</f>
        <v>157.32080595000002</v>
      </c>
      <c r="R4" s="228"/>
    </row>
    <row r="5" spans="1:19">
      <c r="A5" s="351"/>
      <c r="B5" s="1" t="s">
        <v>1392</v>
      </c>
      <c r="C5" s="202" t="s">
        <v>1120</v>
      </c>
      <c r="D5" s="203">
        <v>0.39721000000000006</v>
      </c>
      <c r="E5" s="204">
        <v>55</v>
      </c>
      <c r="F5" s="205">
        <f t="shared" si="0"/>
        <v>21.846550000000004</v>
      </c>
      <c r="G5" s="206"/>
      <c r="L5" s="351"/>
      <c r="M5" s="220" t="s">
        <v>1295</v>
      </c>
      <c r="N5" s="202" t="s">
        <v>1120</v>
      </c>
      <c r="O5" s="203">
        <v>0.48932472600000004</v>
      </c>
      <c r="P5" s="319">
        <v>61.48</v>
      </c>
      <c r="Q5" s="205">
        <f t="shared" ref="Q5:Q11" si="1">O5*P5</f>
        <v>30.08368415448</v>
      </c>
      <c r="R5" s="228"/>
    </row>
    <row r="6" spans="1:19">
      <c r="A6" s="351"/>
      <c r="B6" s="1" t="s">
        <v>1393</v>
      </c>
      <c r="C6" s="202" t="s">
        <v>1120</v>
      </c>
      <c r="D6" s="203">
        <v>0.26199280800000002</v>
      </c>
      <c r="E6" s="204">
        <v>65.83</v>
      </c>
      <c r="F6" s="205">
        <f t="shared" si="0"/>
        <v>17.246986550640003</v>
      </c>
      <c r="G6" s="206"/>
      <c r="L6" s="351"/>
      <c r="M6" s="220" t="s">
        <v>1402</v>
      </c>
      <c r="N6" s="202" t="s">
        <v>1120</v>
      </c>
      <c r="O6" s="203">
        <v>0.81247499999999995</v>
      </c>
      <c r="P6" s="319">
        <v>50.82</v>
      </c>
      <c r="Q6" s="205">
        <f t="shared" si="1"/>
        <v>41.289979499999994</v>
      </c>
    </row>
    <row r="7" spans="1:19">
      <c r="A7" s="351"/>
      <c r="B7" s="1" t="s">
        <v>1282</v>
      </c>
      <c r="C7" s="202" t="s">
        <v>1120</v>
      </c>
      <c r="D7" s="203">
        <v>0.23579091200000002</v>
      </c>
      <c r="E7" s="204">
        <v>211.42</v>
      </c>
      <c r="F7" s="205">
        <f t="shared" si="0"/>
        <v>49.850914615040004</v>
      </c>
      <c r="G7" s="207">
        <v>0.13300000000000001</v>
      </c>
      <c r="L7" s="351"/>
      <c r="M7" s="220" t="s">
        <v>1282</v>
      </c>
      <c r="N7" s="202" t="s">
        <v>1120</v>
      </c>
      <c r="O7" s="203">
        <v>0.23584730400000001</v>
      </c>
      <c r="P7" s="319">
        <v>208.95</v>
      </c>
      <c r="Q7" s="205">
        <f>O7*P7</f>
        <v>49.280294170799998</v>
      </c>
      <c r="R7" s="206">
        <v>0.13300000000000001</v>
      </c>
    </row>
    <row r="8" spans="1:19">
      <c r="A8" s="351"/>
      <c r="B8" s="1" t="s">
        <v>1283</v>
      </c>
      <c r="C8" s="202" t="s">
        <v>1177</v>
      </c>
      <c r="D8" s="203">
        <v>1.772864</v>
      </c>
      <c r="E8" s="204">
        <v>290</v>
      </c>
      <c r="F8" s="205">
        <f>D8*E8*G8/1000</f>
        <v>2.5706528</v>
      </c>
      <c r="G8" s="207">
        <v>5</v>
      </c>
      <c r="L8" s="351"/>
      <c r="M8" s="220" t="s">
        <v>1283</v>
      </c>
      <c r="N8" s="202" t="s">
        <v>1177</v>
      </c>
      <c r="O8" s="203">
        <v>1.773288</v>
      </c>
      <c r="P8" s="319">
        <v>290</v>
      </c>
      <c r="Q8" s="205">
        <f>O8*P8*R8/1000</f>
        <v>2.5712676000000001</v>
      </c>
      <c r="R8" s="206">
        <v>5</v>
      </c>
    </row>
    <row r="9" spans="1:19">
      <c r="A9" s="351"/>
      <c r="B9" s="1" t="s">
        <v>1149</v>
      </c>
      <c r="C9" s="202" t="s">
        <v>1284</v>
      </c>
      <c r="D9" s="202">
        <v>8</v>
      </c>
      <c r="E9" s="204">
        <v>0.91</v>
      </c>
      <c r="F9" s="205">
        <f t="shared" ref="F9:F10" si="2">D9*E9</f>
        <v>7.28</v>
      </c>
      <c r="G9" s="207"/>
      <c r="L9" s="351"/>
      <c r="M9" s="229" t="s">
        <v>1149</v>
      </c>
      <c r="N9" s="202" t="s">
        <v>1120</v>
      </c>
      <c r="O9" s="203">
        <v>4.0960000000000003E-2</v>
      </c>
      <c r="P9" s="319">
        <v>180</v>
      </c>
      <c r="Q9" s="205">
        <f t="shared" si="1"/>
        <v>7.3728000000000007</v>
      </c>
      <c r="R9" s="228"/>
    </row>
    <row r="10" spans="1:19">
      <c r="A10" s="351"/>
      <c r="B10" s="1" t="s">
        <v>1146</v>
      </c>
      <c r="C10" s="202" t="s">
        <v>1284</v>
      </c>
      <c r="D10" s="202">
        <v>8</v>
      </c>
      <c r="E10" s="204">
        <v>0.46</v>
      </c>
      <c r="F10" s="205">
        <f t="shared" si="2"/>
        <v>3.68</v>
      </c>
      <c r="G10" s="207"/>
      <c r="L10" s="351"/>
      <c r="M10" s="229" t="s">
        <v>1146</v>
      </c>
      <c r="N10" s="202" t="s">
        <v>1120</v>
      </c>
      <c r="O10" s="203">
        <v>0.02</v>
      </c>
      <c r="P10" s="319">
        <v>179</v>
      </c>
      <c r="Q10" s="205">
        <f t="shared" si="1"/>
        <v>3.58</v>
      </c>
      <c r="R10" s="228"/>
    </row>
    <row r="11" spans="1:19" ht="45">
      <c r="A11" s="351"/>
      <c r="B11" s="208" t="s">
        <v>1118</v>
      </c>
      <c r="C11" s="209"/>
      <c r="D11" s="210"/>
      <c r="E11" s="211"/>
      <c r="F11" s="212">
        <f>SUM(F4:F10)</f>
        <v>238.68359396568005</v>
      </c>
      <c r="L11" s="351"/>
      <c r="M11" s="229" t="s">
        <v>1296</v>
      </c>
      <c r="N11" s="202" t="s">
        <v>1140</v>
      </c>
      <c r="O11" s="202">
        <v>2</v>
      </c>
      <c r="P11" s="319">
        <v>0.25</v>
      </c>
      <c r="Q11" s="205">
        <f t="shared" si="1"/>
        <v>0.5</v>
      </c>
      <c r="R11" s="228"/>
    </row>
    <row r="12" spans="1:19" ht="45">
      <c r="A12" s="351"/>
      <c r="B12" s="213" t="s">
        <v>1285</v>
      </c>
      <c r="C12" s="214"/>
      <c r="D12" s="202"/>
      <c r="E12" s="215">
        <v>0.01</v>
      </c>
      <c r="F12" s="205">
        <f>F11*E12</f>
        <v>2.3868359396568004</v>
      </c>
      <c r="L12" s="351"/>
      <c r="M12" s="208" t="s">
        <v>1118</v>
      </c>
      <c r="N12" s="209"/>
      <c r="O12" s="210"/>
      <c r="P12" s="211"/>
      <c r="Q12" s="212">
        <f>SUM(Q4:Q11)</f>
        <v>291.99883137527996</v>
      </c>
    </row>
    <row r="13" spans="1:19" ht="30">
      <c r="A13" s="352"/>
      <c r="B13" s="208" t="s">
        <v>1286</v>
      </c>
      <c r="C13" s="214"/>
      <c r="D13" s="202"/>
      <c r="E13" s="202"/>
      <c r="F13" s="212">
        <f>SUM(F11:F12)</f>
        <v>241.07042990533685</v>
      </c>
      <c r="L13" s="351"/>
      <c r="M13" s="213" t="s">
        <v>1285</v>
      </c>
      <c r="N13" s="214"/>
      <c r="O13" s="202"/>
      <c r="P13" s="215">
        <v>0.01</v>
      </c>
      <c r="Q13" s="205">
        <f>Q12*P13</f>
        <v>2.9199883137527998</v>
      </c>
    </row>
    <row r="14" spans="1:19" ht="60">
      <c r="A14" s="195">
        <v>2</v>
      </c>
      <c r="B14" s="208" t="s">
        <v>1114</v>
      </c>
      <c r="C14" s="214"/>
      <c r="D14" s="202"/>
      <c r="E14" s="215">
        <v>0.14000000000000001</v>
      </c>
      <c r="F14" s="205">
        <f>F13*E14</f>
        <v>33.749860186747163</v>
      </c>
      <c r="L14" s="352"/>
      <c r="M14" s="208" t="s">
        <v>1286</v>
      </c>
      <c r="N14" s="214"/>
      <c r="O14" s="202"/>
      <c r="P14" s="202"/>
      <c r="Q14" s="212">
        <f>SUM(Q12:Q13)</f>
        <v>294.91881968903277</v>
      </c>
    </row>
    <row r="15" spans="1:19" ht="60">
      <c r="A15" s="195"/>
      <c r="B15" s="213" t="s">
        <v>1113</v>
      </c>
      <c r="C15" s="214"/>
      <c r="D15" s="202"/>
      <c r="E15" s="215">
        <v>0.14000000000000001</v>
      </c>
      <c r="F15" s="205">
        <f>F14*E15</f>
        <v>4.7249804261446036</v>
      </c>
      <c r="L15" s="195">
        <v>2</v>
      </c>
      <c r="M15" s="208" t="s">
        <v>1114</v>
      </c>
      <c r="N15" s="214"/>
      <c r="O15" s="202"/>
      <c r="P15" s="215">
        <v>0.14000000000000001</v>
      </c>
      <c r="Q15" s="205">
        <f>Q14*P15</f>
        <v>41.288634756464589</v>
      </c>
    </row>
    <row r="16" spans="1:19" ht="60">
      <c r="A16" s="195"/>
      <c r="B16" s="213" t="s">
        <v>1287</v>
      </c>
      <c r="C16" s="214"/>
      <c r="D16" s="202"/>
      <c r="E16" s="215"/>
      <c r="F16" s="205">
        <f>(F14+F15)*31.3%</f>
        <v>12.042625111835124</v>
      </c>
      <c r="L16" s="195"/>
      <c r="M16" s="213" t="s">
        <v>1113</v>
      </c>
      <c r="N16" s="214"/>
      <c r="O16" s="202"/>
      <c r="P16" s="215">
        <v>0.14000000000000001</v>
      </c>
      <c r="Q16" s="205">
        <f>Q15*P16</f>
        <v>5.7804088659050432</v>
      </c>
    </row>
    <row r="17" spans="1:21" ht="90">
      <c r="A17" s="195">
        <v>3</v>
      </c>
      <c r="B17" s="208" t="s">
        <v>1109</v>
      </c>
      <c r="C17" s="214"/>
      <c r="D17" s="202"/>
      <c r="E17" s="215">
        <v>1.5</v>
      </c>
      <c r="F17" s="205">
        <f>F14*E17</f>
        <v>50.624790280120749</v>
      </c>
      <c r="L17" s="195"/>
      <c r="M17" s="213" t="s">
        <v>1287</v>
      </c>
      <c r="N17" s="214"/>
      <c r="O17" s="202"/>
      <c r="P17" s="215"/>
      <c r="Q17" s="205">
        <f>(Q15+Q16)*30.9%</f>
        <v>14.544334479312218</v>
      </c>
    </row>
    <row r="18" spans="1:21" ht="90">
      <c r="A18" s="195">
        <v>4</v>
      </c>
      <c r="B18" s="208" t="s">
        <v>1107</v>
      </c>
      <c r="C18" s="214"/>
      <c r="D18" s="202"/>
      <c r="E18" s="216"/>
      <c r="F18" s="198">
        <f>F13+F14+F15+F16+F17</f>
        <v>342.21268591018452</v>
      </c>
      <c r="L18" s="195">
        <v>3</v>
      </c>
      <c r="M18" s="208" t="s">
        <v>1109</v>
      </c>
      <c r="N18" s="214"/>
      <c r="O18" s="202"/>
      <c r="P18" s="215">
        <v>1.5</v>
      </c>
      <c r="Q18" s="205">
        <f>Q15*P18</f>
        <v>61.932952134696883</v>
      </c>
    </row>
    <row r="19" spans="1:21" ht="45">
      <c r="A19" s="195">
        <v>5</v>
      </c>
      <c r="B19" s="208" t="s">
        <v>1105</v>
      </c>
      <c r="C19" s="214"/>
      <c r="D19" s="202"/>
      <c r="E19" s="217">
        <v>1</v>
      </c>
      <c r="F19" s="218">
        <f>F14*E19</f>
        <v>33.749860186747163</v>
      </c>
      <c r="L19" s="195">
        <v>4</v>
      </c>
      <c r="M19" s="208" t="s">
        <v>1107</v>
      </c>
      <c r="N19" s="214"/>
      <c r="O19" s="202"/>
      <c r="P19" s="216"/>
      <c r="Q19" s="198">
        <f>Q14+Q15+Q16+Q17+Q18</f>
        <v>418.46514992541154</v>
      </c>
    </row>
    <row r="20" spans="1:21" ht="45">
      <c r="A20" s="195"/>
      <c r="B20" s="208"/>
      <c r="C20" s="214"/>
      <c r="D20" s="202"/>
      <c r="E20" s="217">
        <v>0.8</v>
      </c>
      <c r="F20" s="218">
        <f>F14*E20</f>
        <v>26.999888149397734</v>
      </c>
      <c r="L20" s="195">
        <v>5</v>
      </c>
      <c r="M20" s="208" t="s">
        <v>1105</v>
      </c>
      <c r="N20" s="214"/>
      <c r="O20" s="202"/>
      <c r="P20" s="217">
        <v>1</v>
      </c>
      <c r="Q20" s="218">
        <f>Q15*P20</f>
        <v>41.288634756464589</v>
      </c>
    </row>
    <row r="21" spans="1:21" ht="30">
      <c r="A21" s="195">
        <v>6</v>
      </c>
      <c r="B21" s="208" t="s">
        <v>1288</v>
      </c>
      <c r="C21" s="214"/>
      <c r="D21" s="202"/>
      <c r="E21" s="202"/>
      <c r="F21" s="218">
        <f>F18+F19</f>
        <v>375.9625460969317</v>
      </c>
      <c r="L21" s="195"/>
      <c r="M21" s="208"/>
      <c r="N21" s="214"/>
      <c r="O21" s="202"/>
      <c r="P21" s="217">
        <v>0.8</v>
      </c>
      <c r="Q21" s="218">
        <f>Q15*P21</f>
        <v>33.030907805171672</v>
      </c>
    </row>
    <row r="22" spans="1:21" ht="30">
      <c r="A22" s="195"/>
      <c r="B22" s="208"/>
      <c r="C22" s="214"/>
      <c r="D22" s="202"/>
      <c r="E22" s="202"/>
      <c r="F22" s="218">
        <f>F18+F20</f>
        <v>369.21257405958227</v>
      </c>
      <c r="L22" s="195">
        <v>6</v>
      </c>
      <c r="M22" s="208" t="s">
        <v>1288</v>
      </c>
      <c r="N22" s="214"/>
      <c r="O22" s="202"/>
      <c r="P22" s="202"/>
      <c r="Q22" s="218">
        <f>Q19+Q20</f>
        <v>459.75378468187614</v>
      </c>
    </row>
    <row r="23" spans="1:21">
      <c r="A23" s="195">
        <v>7</v>
      </c>
      <c r="B23" s="208" t="s">
        <v>83</v>
      </c>
      <c r="C23" s="214"/>
      <c r="D23" s="202"/>
      <c r="E23" s="215">
        <v>0.4</v>
      </c>
      <c r="F23" s="218">
        <f>F21*E23</f>
        <v>150.38501843877268</v>
      </c>
      <c r="L23" s="195"/>
      <c r="M23" s="208"/>
      <c r="N23" s="214"/>
      <c r="O23" s="202"/>
      <c r="P23" s="202"/>
      <c r="Q23" s="218">
        <f>Q19+Q21</f>
        <v>451.49605773058323</v>
      </c>
    </row>
    <row r="24" spans="1:21">
      <c r="A24" s="195"/>
      <c r="B24" s="208"/>
      <c r="C24" s="214"/>
      <c r="D24" s="202"/>
      <c r="E24" s="215">
        <v>7.0000000000000007E-2</v>
      </c>
      <c r="F24" s="218">
        <f>F22*E24</f>
        <v>25.844880184170762</v>
      </c>
      <c r="L24" s="195">
        <v>7</v>
      </c>
      <c r="M24" s="208" t="s">
        <v>83</v>
      </c>
      <c r="N24" s="214"/>
      <c r="O24" s="202"/>
      <c r="P24" s="215">
        <v>0.4</v>
      </c>
      <c r="Q24" s="218">
        <f>Q22*P24</f>
        <v>183.90151387275046</v>
      </c>
    </row>
    <row r="25" spans="1:21" ht="42">
      <c r="A25" s="195">
        <v>8</v>
      </c>
      <c r="B25" s="219" t="s">
        <v>1100</v>
      </c>
      <c r="C25" s="214"/>
      <c r="D25" s="202"/>
      <c r="E25" s="215"/>
      <c r="F25" s="218">
        <v>38.5</v>
      </c>
      <c r="H25" s="220" t="s">
        <v>1394</v>
      </c>
      <c r="I25" s="221" t="s">
        <v>1284</v>
      </c>
      <c r="J25" s="222">
        <v>0.33300000000000002</v>
      </c>
      <c r="L25" s="195"/>
      <c r="M25" s="208"/>
      <c r="N25" s="214"/>
      <c r="O25" s="202"/>
      <c r="P25" s="215">
        <v>0.25</v>
      </c>
      <c r="Q25" s="218">
        <f>Q23*P25</f>
        <v>112.87401443264581</v>
      </c>
    </row>
    <row r="26" spans="1:21" ht="42">
      <c r="A26" s="195">
        <v>9</v>
      </c>
      <c r="B26" s="219" t="s">
        <v>1099</v>
      </c>
      <c r="C26" s="214"/>
      <c r="D26" s="202"/>
      <c r="E26" s="216"/>
      <c r="F26" s="218">
        <f>F21+F23+F25</f>
        <v>564.84756453570435</v>
      </c>
      <c r="H26" s="220" t="s">
        <v>1298</v>
      </c>
      <c r="I26" s="221" t="s">
        <v>1290</v>
      </c>
      <c r="J26" s="222">
        <v>3.7999999999999999E-2</v>
      </c>
      <c r="L26" s="195">
        <v>8</v>
      </c>
      <c r="M26" s="219" t="s">
        <v>1100</v>
      </c>
      <c r="N26" s="214"/>
      <c r="O26" s="202"/>
      <c r="P26" s="215"/>
      <c r="Q26" s="218">
        <v>20</v>
      </c>
      <c r="S26" t="s">
        <v>1394</v>
      </c>
      <c r="T26" t="s">
        <v>1140</v>
      </c>
      <c r="U26" s="230">
        <v>0.33333333333333331</v>
      </c>
    </row>
    <row r="27" spans="1:21" ht="28">
      <c r="A27" s="195"/>
      <c r="B27" s="219"/>
      <c r="C27" s="214"/>
      <c r="D27" s="202"/>
      <c r="E27" s="216"/>
      <c r="F27" s="218">
        <f>F22+F24+F25</f>
        <v>433.557454243753</v>
      </c>
      <c r="L27" s="195">
        <v>9</v>
      </c>
      <c r="M27" s="219" t="s">
        <v>1099</v>
      </c>
      <c r="N27" s="214"/>
      <c r="O27" s="202"/>
      <c r="P27" s="216"/>
      <c r="Q27" s="218">
        <f>Q22+Q24+Q26</f>
        <v>663.6552985546266</v>
      </c>
      <c r="S27" t="s">
        <v>1298</v>
      </c>
      <c r="T27" t="s">
        <v>1120</v>
      </c>
      <c r="U27" s="230">
        <v>2.7493125000000007E-2</v>
      </c>
    </row>
    <row r="28" spans="1:21">
      <c r="A28" s="195">
        <v>10</v>
      </c>
      <c r="B28" s="219" t="s">
        <v>1098</v>
      </c>
      <c r="C28" s="214"/>
      <c r="D28" s="202"/>
      <c r="E28" s="217">
        <v>0.2</v>
      </c>
      <c r="F28" s="218">
        <f>F26*E28</f>
        <v>112.96951290714088</v>
      </c>
      <c r="L28" s="195"/>
      <c r="M28" s="219"/>
      <c r="N28" s="214"/>
      <c r="O28" s="202"/>
      <c r="P28" s="216"/>
      <c r="Q28" s="218">
        <f>Q23+Q25+Q26</f>
        <v>584.370072163229</v>
      </c>
    </row>
    <row r="29" spans="1:21">
      <c r="A29" s="195"/>
      <c r="B29" s="219"/>
      <c r="C29" s="214"/>
      <c r="D29" s="202"/>
      <c r="E29" s="217">
        <v>0.2</v>
      </c>
      <c r="F29" s="218">
        <f>F27*E29</f>
        <v>86.7114908487506</v>
      </c>
      <c r="L29" s="195">
        <v>10</v>
      </c>
      <c r="M29" s="219" t="s">
        <v>1098</v>
      </c>
      <c r="N29" s="214"/>
      <c r="O29" s="202"/>
      <c r="P29" s="217">
        <v>0.22</v>
      </c>
      <c r="Q29" s="218">
        <f>Q27*P29</f>
        <v>146.00416568201786</v>
      </c>
    </row>
    <row r="30" spans="1:21">
      <c r="A30" s="195">
        <v>11</v>
      </c>
      <c r="B30" s="209" t="s">
        <v>1291</v>
      </c>
      <c r="C30" s="214"/>
      <c r="D30" s="214"/>
      <c r="E30" s="214" t="s">
        <v>1096</v>
      </c>
      <c r="F30" s="212">
        <f>F26+F28</f>
        <v>677.81707744284518</v>
      </c>
      <c r="L30" s="195"/>
      <c r="M30" s="219"/>
      <c r="N30" s="214"/>
      <c r="O30" s="202"/>
      <c r="P30" s="217">
        <v>0.22</v>
      </c>
      <c r="Q30" s="218">
        <f>Q28*P30</f>
        <v>128.56141587591037</v>
      </c>
    </row>
    <row r="31" spans="1:21" ht="21">
      <c r="A31" s="223"/>
      <c r="B31" s="223"/>
      <c r="C31" s="223"/>
      <c r="D31" s="223"/>
      <c r="E31" s="223" t="s">
        <v>1095</v>
      </c>
      <c r="F31" s="224">
        <f>F27+F29</f>
        <v>520.2689450925036</v>
      </c>
      <c r="L31" s="195">
        <v>11</v>
      </c>
      <c r="M31" s="209" t="s">
        <v>1291</v>
      </c>
      <c r="N31" s="214"/>
      <c r="O31" s="214"/>
      <c r="P31" s="214" t="s">
        <v>1096</v>
      </c>
      <c r="Q31" s="212">
        <f>Q27+Q29</f>
        <v>809.65946423664445</v>
      </c>
      <c r="S31" s="322" t="s">
        <v>1405</v>
      </c>
      <c r="T31">
        <f>F31*4+Q32*4+17*4</f>
        <v>5000.8017325265719</v>
      </c>
    </row>
    <row r="32" spans="1:21" ht="21">
      <c r="L32" s="223"/>
      <c r="M32" s="223"/>
      <c r="N32" s="223"/>
      <c r="O32" s="223"/>
      <c r="P32" s="223" t="s">
        <v>1095</v>
      </c>
      <c r="Q32" s="224">
        <f>Q28+Q30</f>
        <v>712.93148803913937</v>
      </c>
      <c r="S32" s="322" t="s">
        <v>1406</v>
      </c>
      <c r="T32">
        <f>F31*6+Q32*4+17*4</f>
        <v>6041.3396227115791</v>
      </c>
    </row>
  </sheetData>
  <mergeCells count="3">
    <mergeCell ref="L4:L14"/>
    <mergeCell ref="A1:G1"/>
    <mergeCell ref="A5:A13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  <pageSetUpPr autoPageBreaks="0"/>
  </sheetPr>
  <dimension ref="A1:K47"/>
  <sheetViews>
    <sheetView topLeftCell="A22" zoomScale="120" zoomScaleNormal="120" workbookViewId="0">
      <selection activeCell="F34" sqref="F34"/>
    </sheetView>
  </sheetViews>
  <sheetFormatPr baseColWidth="10" defaultColWidth="9" defaultRowHeight="11.5" customHeight="1"/>
  <cols>
    <col min="1" max="1" width="5.5" style="73" customWidth="1"/>
    <col min="2" max="2" width="42.1640625" style="73" customWidth="1"/>
    <col min="3" max="3" width="12.5" style="73" customWidth="1"/>
    <col min="4" max="4" width="8.5" style="73" customWidth="1"/>
    <col min="5" max="5" width="9.5" style="73" customWidth="1"/>
    <col min="6" max="6" width="14.1640625" style="73" customWidth="1"/>
    <col min="7" max="7" width="9" style="72"/>
    <col min="8" max="8" width="32.6640625" style="72" customWidth="1"/>
    <col min="9" max="16384" width="9" style="72"/>
  </cols>
  <sheetData>
    <row r="1" spans="1:11" ht="11" customHeight="1">
      <c r="F1" s="97" t="s">
        <v>1161</v>
      </c>
    </row>
    <row r="2" spans="1:11" ht="11" customHeight="1">
      <c r="F2" s="97" t="s">
        <v>1160</v>
      </c>
    </row>
    <row r="3" spans="1:11" ht="11" customHeight="1">
      <c r="F3" s="97" t="s">
        <v>1159</v>
      </c>
    </row>
    <row r="4" spans="1:11" ht="11" customHeight="1">
      <c r="F4" s="97" t="s">
        <v>1158</v>
      </c>
    </row>
    <row r="5" spans="1:11" ht="16" customHeight="1">
      <c r="A5" s="96" t="s">
        <v>1157</v>
      </c>
      <c r="F5" s="95" t="s">
        <v>1156</v>
      </c>
    </row>
    <row r="6" spans="1:11" ht="11" customHeight="1"/>
    <row r="7" spans="1:11" ht="13" customHeight="1">
      <c r="A7" s="356" t="s">
        <v>1169</v>
      </c>
      <c r="B7" s="356"/>
      <c r="C7" s="356"/>
      <c r="D7" s="356"/>
      <c r="E7" s="356"/>
      <c r="F7" s="356"/>
    </row>
    <row r="8" spans="1:11" s="94" customFormat="1" ht="3" customHeight="1"/>
    <row r="9" spans="1:11" ht="11" customHeight="1">
      <c r="A9" s="79" t="s">
        <v>1154</v>
      </c>
      <c r="B9" s="79" t="s">
        <v>1153</v>
      </c>
      <c r="C9" s="79" t="s">
        <v>1152</v>
      </c>
      <c r="D9" s="79" t="s">
        <v>1151</v>
      </c>
      <c r="E9" s="79" t="s">
        <v>1239</v>
      </c>
      <c r="F9" s="79" t="s">
        <v>1240</v>
      </c>
    </row>
    <row r="10" spans="1:11" ht="15.75" customHeight="1">
      <c r="A10" s="92">
        <v>1</v>
      </c>
      <c r="B10" s="91" t="s">
        <v>1149</v>
      </c>
      <c r="C10" s="90" t="s">
        <v>1120</v>
      </c>
      <c r="D10" s="93">
        <v>0.57299999999999995</v>
      </c>
      <c r="E10" s="79" t="s">
        <v>1150</v>
      </c>
      <c r="F10" s="99">
        <f t="shared" ref="F10:F22" si="0">D10*E10</f>
        <v>101.42099999999999</v>
      </c>
      <c r="H10" s="89" t="s">
        <v>1149</v>
      </c>
      <c r="I10" s="88" t="s">
        <v>1120</v>
      </c>
      <c r="J10" s="87" t="s">
        <v>1168</v>
      </c>
      <c r="K10" s="86"/>
    </row>
    <row r="11" spans="1:11" ht="15" customHeight="1">
      <c r="A11" s="92">
        <v>2</v>
      </c>
      <c r="B11" s="91" t="s">
        <v>1146</v>
      </c>
      <c r="C11" s="90" t="s">
        <v>1120</v>
      </c>
      <c r="D11" s="93">
        <v>0.28000000000000003</v>
      </c>
      <c r="E11" s="79" t="s">
        <v>1147</v>
      </c>
      <c r="F11" s="99">
        <f t="shared" si="0"/>
        <v>49.28</v>
      </c>
      <c r="H11" s="89" t="s">
        <v>1146</v>
      </c>
      <c r="I11" s="88" t="s">
        <v>1120</v>
      </c>
      <c r="J11" s="87" t="s">
        <v>1167</v>
      </c>
      <c r="K11" s="86"/>
    </row>
    <row r="12" spans="1:11" ht="15" customHeight="1">
      <c r="A12" s="92">
        <v>3</v>
      </c>
      <c r="B12" s="91" t="s">
        <v>1144</v>
      </c>
      <c r="C12" s="90" t="s">
        <v>1140</v>
      </c>
      <c r="D12" s="93" t="s">
        <v>1142</v>
      </c>
      <c r="E12" s="79">
        <v>4.96</v>
      </c>
      <c r="F12" s="99">
        <f t="shared" si="0"/>
        <v>4.96</v>
      </c>
      <c r="H12" s="89" t="s">
        <v>1144</v>
      </c>
      <c r="I12" s="88" t="s">
        <v>1140</v>
      </c>
      <c r="J12" s="93" t="s">
        <v>1142</v>
      </c>
      <c r="K12" s="86"/>
    </row>
    <row r="13" spans="1:11" ht="27" customHeight="1">
      <c r="A13" s="92">
        <v>4</v>
      </c>
      <c r="B13" s="91" t="s">
        <v>1143</v>
      </c>
      <c r="C13" s="90" t="s">
        <v>1140</v>
      </c>
      <c r="D13" s="93" t="s">
        <v>1108</v>
      </c>
      <c r="E13" s="79">
        <v>2.4500000000000002</v>
      </c>
      <c r="F13" s="99">
        <f t="shared" si="0"/>
        <v>9.8000000000000007</v>
      </c>
      <c r="H13" s="89" t="s">
        <v>1143</v>
      </c>
      <c r="I13" s="88" t="s">
        <v>1140</v>
      </c>
      <c r="J13" s="93" t="s">
        <v>1108</v>
      </c>
      <c r="K13" s="86"/>
    </row>
    <row r="14" spans="1:11" ht="18" customHeight="1">
      <c r="A14" s="92">
        <v>5</v>
      </c>
      <c r="B14" s="91" t="s">
        <v>1141</v>
      </c>
      <c r="C14" s="90" t="s">
        <v>1140</v>
      </c>
      <c r="D14" s="93">
        <v>1</v>
      </c>
      <c r="E14" s="79">
        <v>0.41</v>
      </c>
      <c r="F14" s="99">
        <f t="shared" si="0"/>
        <v>0.41</v>
      </c>
      <c r="H14" s="89" t="s">
        <v>1141</v>
      </c>
      <c r="I14" s="88" t="s">
        <v>1140</v>
      </c>
      <c r="J14" s="93" t="s">
        <v>1139</v>
      </c>
      <c r="K14" s="86"/>
    </row>
    <row r="15" spans="1:11" ht="15.75" customHeight="1">
      <c r="A15" s="92">
        <v>6</v>
      </c>
      <c r="B15" s="91" t="s">
        <v>1247</v>
      </c>
      <c r="C15" s="90" t="s">
        <v>1120</v>
      </c>
      <c r="D15" s="93">
        <v>0.496</v>
      </c>
      <c r="E15" s="79" t="s">
        <v>1138</v>
      </c>
      <c r="F15" s="99">
        <f t="shared" si="0"/>
        <v>39.68</v>
      </c>
      <c r="H15" s="89" t="s">
        <v>1137</v>
      </c>
      <c r="I15" s="88" t="s">
        <v>1120</v>
      </c>
      <c r="J15" s="93" t="s">
        <v>1136</v>
      </c>
      <c r="K15" s="86"/>
    </row>
    <row r="16" spans="1:11" ht="17.25" customHeight="1">
      <c r="A16" s="92">
        <v>7</v>
      </c>
      <c r="B16" s="91" t="s">
        <v>1135</v>
      </c>
      <c r="C16" s="90" t="s">
        <v>1120</v>
      </c>
      <c r="D16" s="93">
        <v>1.256</v>
      </c>
      <c r="E16" s="79">
        <v>213.1</v>
      </c>
      <c r="F16" s="99">
        <f t="shared" si="0"/>
        <v>267.65359999999998</v>
      </c>
      <c r="H16" s="89" t="s">
        <v>1135</v>
      </c>
      <c r="I16" s="88" t="s">
        <v>1120</v>
      </c>
      <c r="J16" s="87" t="s">
        <v>1166</v>
      </c>
      <c r="K16" s="86"/>
    </row>
    <row r="17" spans="1:11" ht="17.25" customHeight="1">
      <c r="A17" s="92">
        <v>8</v>
      </c>
      <c r="B17" s="91" t="s">
        <v>1248</v>
      </c>
      <c r="C17" s="90" t="s">
        <v>1120</v>
      </c>
      <c r="D17" s="93">
        <v>5.7519999999999998</v>
      </c>
      <c r="E17" s="79" t="s">
        <v>1133</v>
      </c>
      <c r="F17" s="99">
        <f t="shared" si="0"/>
        <v>402.64</v>
      </c>
      <c r="H17" s="89" t="s">
        <v>1132</v>
      </c>
      <c r="I17" s="88" t="s">
        <v>1120</v>
      </c>
      <c r="J17" s="93" t="s">
        <v>1131</v>
      </c>
      <c r="K17" s="86"/>
    </row>
    <row r="18" spans="1:11" ht="18" customHeight="1">
      <c r="A18" s="92">
        <v>9</v>
      </c>
      <c r="B18" s="91" t="s">
        <v>1245</v>
      </c>
      <c r="C18" s="90" t="s">
        <v>1120</v>
      </c>
      <c r="D18" s="93">
        <v>0.54</v>
      </c>
      <c r="E18" s="79">
        <v>68.75</v>
      </c>
      <c r="F18" s="99">
        <f t="shared" si="0"/>
        <v>37.125</v>
      </c>
      <c r="H18" s="89" t="s">
        <v>1130</v>
      </c>
      <c r="I18" s="88" t="s">
        <v>1120</v>
      </c>
      <c r="J18" s="93" t="s">
        <v>1129</v>
      </c>
      <c r="K18" s="86"/>
    </row>
    <row r="19" spans="1:11" ht="18" customHeight="1">
      <c r="A19" s="92">
        <v>10</v>
      </c>
      <c r="B19" s="91" t="s">
        <v>1249</v>
      </c>
      <c r="C19" s="90" t="s">
        <v>1120</v>
      </c>
      <c r="D19" s="93">
        <v>12.173999999999999</v>
      </c>
      <c r="E19" s="79">
        <v>66.67</v>
      </c>
      <c r="F19" s="99">
        <f t="shared" si="0"/>
        <v>811.64058</v>
      </c>
      <c r="H19" s="89" t="s">
        <v>1128</v>
      </c>
      <c r="I19" s="88" t="s">
        <v>1120</v>
      </c>
      <c r="J19" s="87" t="s">
        <v>1165</v>
      </c>
      <c r="K19" s="86"/>
    </row>
    <row r="20" spans="1:11" ht="18.75" customHeight="1">
      <c r="A20" s="92">
        <v>11</v>
      </c>
      <c r="B20" s="91" t="s">
        <v>1250</v>
      </c>
      <c r="C20" s="90" t="s">
        <v>1120</v>
      </c>
      <c r="D20" s="93">
        <v>2.706</v>
      </c>
      <c r="E20" s="79">
        <v>66.67</v>
      </c>
      <c r="F20" s="99">
        <f t="shared" si="0"/>
        <v>180.40902</v>
      </c>
      <c r="H20" s="89" t="s">
        <v>1126</v>
      </c>
      <c r="I20" s="88" t="s">
        <v>1120</v>
      </c>
      <c r="J20" s="87" t="s">
        <v>1164</v>
      </c>
      <c r="K20" s="86"/>
    </row>
    <row r="21" spans="1:11" ht="15.75" customHeight="1">
      <c r="A21" s="92">
        <v>12</v>
      </c>
      <c r="B21" s="91" t="s">
        <v>1243</v>
      </c>
      <c r="C21" s="90" t="s">
        <v>1120</v>
      </c>
      <c r="D21" s="93">
        <v>2.1360000000000001</v>
      </c>
      <c r="E21" s="79">
        <v>69.17</v>
      </c>
      <c r="F21" s="99">
        <f t="shared" si="0"/>
        <v>147.74712000000002</v>
      </c>
      <c r="H21" s="89" t="s">
        <v>1124</v>
      </c>
      <c r="I21" s="88" t="s">
        <v>1120</v>
      </c>
      <c r="J21" s="87" t="s">
        <v>1163</v>
      </c>
      <c r="K21" s="86"/>
    </row>
    <row r="22" spans="1:11" ht="21" customHeight="1">
      <c r="A22" s="92">
        <v>13</v>
      </c>
      <c r="B22" s="91" t="s">
        <v>1121</v>
      </c>
      <c r="C22" s="90" t="s">
        <v>1120</v>
      </c>
      <c r="D22" s="93">
        <v>4.8000000000000001E-2</v>
      </c>
      <c r="E22" s="79" t="s">
        <v>1122</v>
      </c>
      <c r="F22" s="99">
        <f t="shared" si="0"/>
        <v>13.92</v>
      </c>
      <c r="H22" s="89" t="s">
        <v>1121</v>
      </c>
      <c r="I22" s="88" t="s">
        <v>1120</v>
      </c>
      <c r="J22" s="87" t="s">
        <v>1162</v>
      </c>
      <c r="K22" s="86"/>
    </row>
    <row r="23" spans="1:11" ht="32.25" customHeight="1">
      <c r="A23" s="85"/>
      <c r="B23" s="77" t="s">
        <v>1118</v>
      </c>
      <c r="C23" s="77"/>
      <c r="D23" s="77"/>
      <c r="E23" s="77"/>
      <c r="F23" s="98">
        <f>SUM(F10:F22)</f>
        <v>2066.6863200000003</v>
      </c>
    </row>
    <row r="24" spans="1:11" ht="18.75" customHeight="1">
      <c r="A24" s="84"/>
      <c r="B24" s="76" t="s">
        <v>1117</v>
      </c>
      <c r="C24" s="76"/>
      <c r="D24" s="76"/>
      <c r="E24" s="80">
        <v>0.01</v>
      </c>
      <c r="F24" s="99">
        <f>F23*E24</f>
        <v>20.666863200000002</v>
      </c>
    </row>
    <row r="25" spans="1:11" ht="27.75" customHeight="1">
      <c r="A25" s="83"/>
      <c r="B25" s="77" t="s">
        <v>1116</v>
      </c>
      <c r="C25" s="77"/>
      <c r="D25" s="77"/>
      <c r="E25" s="77"/>
      <c r="F25" s="98">
        <f>SUM(F23,F24)</f>
        <v>2087.3531832000003</v>
      </c>
    </row>
    <row r="26" spans="1:11" ht="26.25" customHeight="1">
      <c r="A26" s="76" t="s">
        <v>1115</v>
      </c>
      <c r="B26" s="76" t="s">
        <v>1114</v>
      </c>
      <c r="C26" s="76"/>
      <c r="D26" s="76"/>
      <c r="E26" s="80">
        <v>0.11</v>
      </c>
      <c r="F26" s="99">
        <f>F25*E26</f>
        <v>229.60885015200003</v>
      </c>
    </row>
    <row r="27" spans="1:11" ht="20.25" customHeight="1">
      <c r="A27" s="76"/>
      <c r="B27" s="81" t="s">
        <v>1113</v>
      </c>
      <c r="C27" s="76"/>
      <c r="D27" s="76"/>
      <c r="E27" s="80">
        <v>0.14000000000000001</v>
      </c>
      <c r="F27" s="99">
        <f>F26*E27</f>
        <v>32.145239021280005</v>
      </c>
    </row>
    <row r="28" spans="1:11" ht="22.5" customHeight="1">
      <c r="A28" s="76"/>
      <c r="B28" s="81" t="s">
        <v>1112</v>
      </c>
      <c r="C28" s="76"/>
      <c r="D28" s="76"/>
      <c r="E28" s="82">
        <v>0.309</v>
      </c>
      <c r="F28" s="99">
        <f>(F26+F27)*E28</f>
        <v>80.882013554543519</v>
      </c>
    </row>
    <row r="29" spans="1:11" ht="18" customHeight="1">
      <c r="A29" s="76"/>
      <c r="B29" s="81" t="s">
        <v>1111</v>
      </c>
      <c r="C29" s="76"/>
      <c r="D29" s="76"/>
      <c r="E29" s="82">
        <v>0</v>
      </c>
      <c r="F29" s="99">
        <v>0</v>
      </c>
    </row>
    <row r="30" spans="1:11" ht="21" customHeight="1">
      <c r="A30" s="76" t="s">
        <v>1110</v>
      </c>
      <c r="B30" s="81" t="s">
        <v>1109</v>
      </c>
      <c r="C30" s="76"/>
      <c r="D30" s="76"/>
      <c r="E30" s="80">
        <v>1.5</v>
      </c>
      <c r="F30" s="99">
        <f>F26*E30</f>
        <v>344.41327522800003</v>
      </c>
    </row>
    <row r="31" spans="1:11" ht="21.75" customHeight="1">
      <c r="A31" s="76" t="s">
        <v>1108</v>
      </c>
      <c r="B31" s="76" t="s">
        <v>1107</v>
      </c>
      <c r="C31" s="76"/>
      <c r="D31" s="76"/>
      <c r="E31" s="79"/>
      <c r="F31" s="99">
        <f>F25+F26+F27+F28+F29+F30</f>
        <v>2774.4025611558236</v>
      </c>
    </row>
    <row r="32" spans="1:11" ht="18" customHeight="1">
      <c r="A32" s="76" t="s">
        <v>1106</v>
      </c>
      <c r="B32" s="76" t="s">
        <v>1105</v>
      </c>
      <c r="C32" s="76"/>
      <c r="D32" s="76"/>
      <c r="E32" s="80">
        <v>1</v>
      </c>
      <c r="F32" s="99">
        <f>F26*E32</f>
        <v>229.60885015200003</v>
      </c>
    </row>
    <row r="33" spans="1:6" ht="19.5" customHeight="1">
      <c r="A33" s="76"/>
      <c r="B33" s="76"/>
      <c r="C33" s="76"/>
      <c r="D33" s="76"/>
      <c r="E33" s="80">
        <v>0.8</v>
      </c>
      <c r="F33" s="99">
        <f>F26*E33</f>
        <v>183.68708012160005</v>
      </c>
    </row>
    <row r="34" spans="1:6" ht="19.5" customHeight="1">
      <c r="A34" s="76" t="s">
        <v>1104</v>
      </c>
      <c r="B34" s="76" t="s">
        <v>1103</v>
      </c>
      <c r="C34" s="76"/>
      <c r="D34" s="76"/>
      <c r="E34" s="79"/>
      <c r="F34" s="99">
        <f>F31+F32</f>
        <v>3004.0114113078234</v>
      </c>
    </row>
    <row r="35" spans="1:6" ht="15.75" customHeight="1">
      <c r="A35" s="76"/>
      <c r="B35" s="76"/>
      <c r="C35" s="76"/>
      <c r="D35" s="76"/>
      <c r="E35" s="79"/>
      <c r="F35" s="99">
        <f>F31+F33</f>
        <v>2958.0896412774237</v>
      </c>
    </row>
    <row r="36" spans="1:6" ht="21.75" customHeight="1">
      <c r="A36" s="76" t="s">
        <v>1102</v>
      </c>
      <c r="B36" s="76" t="s">
        <v>83</v>
      </c>
      <c r="C36" s="76"/>
      <c r="D36" s="76"/>
      <c r="E36" s="80">
        <v>0.4</v>
      </c>
      <c r="F36" s="99">
        <f>F34*E36</f>
        <v>1201.6045645231295</v>
      </c>
    </row>
    <row r="37" spans="1:6" ht="21" customHeight="1">
      <c r="A37" s="76"/>
      <c r="B37" s="76"/>
      <c r="C37" s="76"/>
      <c r="D37" s="76"/>
      <c r="E37" s="80">
        <v>7.0000000000000007E-2</v>
      </c>
      <c r="F37" s="99">
        <f>F35*E37</f>
        <v>207.06627488941967</v>
      </c>
    </row>
    <row r="38" spans="1:6" ht="17.25" customHeight="1">
      <c r="A38" s="76" t="s">
        <v>1101</v>
      </c>
      <c r="B38" s="76" t="s">
        <v>1100</v>
      </c>
      <c r="C38" s="76"/>
      <c r="D38" s="76"/>
      <c r="E38" s="79"/>
      <c r="F38" s="99">
        <v>67.849999999999994</v>
      </c>
    </row>
    <row r="39" spans="1:6" ht="22.5" customHeight="1">
      <c r="A39" s="76"/>
      <c r="B39" s="76" t="s">
        <v>1099</v>
      </c>
      <c r="C39" s="76"/>
      <c r="D39" s="76"/>
      <c r="E39" s="79"/>
      <c r="F39" s="99">
        <f>F34+F36+F38</f>
        <v>4273.4659758309535</v>
      </c>
    </row>
    <row r="40" spans="1:6" ht="16.5" customHeight="1">
      <c r="A40" s="76"/>
      <c r="B40" s="76"/>
      <c r="C40" s="76"/>
      <c r="D40" s="76"/>
      <c r="E40" s="79"/>
      <c r="F40" s="99">
        <f>F35+F37+F38</f>
        <v>3233.0059161668432</v>
      </c>
    </row>
    <row r="41" spans="1:6" ht="12" customHeight="1">
      <c r="A41" s="76"/>
      <c r="B41" s="76" t="s">
        <v>1098</v>
      </c>
      <c r="C41" s="76"/>
      <c r="D41" s="76"/>
      <c r="E41" s="80">
        <v>0.22</v>
      </c>
      <c r="F41" s="99">
        <f>F39*E41</f>
        <v>940.16251468280973</v>
      </c>
    </row>
    <row r="42" spans="1:6" ht="13.5" customHeight="1">
      <c r="A42" s="76"/>
      <c r="B42" s="76"/>
      <c r="C42" s="76"/>
      <c r="D42" s="76"/>
      <c r="E42" s="80">
        <v>0.22</v>
      </c>
      <c r="F42" s="99">
        <f>F40*E42</f>
        <v>711.26130155670546</v>
      </c>
    </row>
    <row r="43" spans="1:6" ht="15" customHeight="1">
      <c r="A43" s="76"/>
      <c r="B43" s="77" t="s">
        <v>1097</v>
      </c>
      <c r="C43" s="76"/>
      <c r="D43" s="76"/>
      <c r="E43" s="75" t="s">
        <v>1096</v>
      </c>
      <c r="F43" s="98">
        <f>F39+F41</f>
        <v>5213.6284905137636</v>
      </c>
    </row>
    <row r="44" spans="1:6" ht="17.25" customHeight="1">
      <c r="A44" s="76"/>
      <c r="B44" s="76"/>
      <c r="C44" s="76"/>
      <c r="D44" s="76"/>
      <c r="E44" s="75" t="s">
        <v>1095</v>
      </c>
      <c r="F44" s="98">
        <f>F40+F42</f>
        <v>3944.2672177235486</v>
      </c>
    </row>
    <row r="45" spans="1:6" ht="11" customHeight="1"/>
    <row r="46" spans="1:6" ht="11" customHeight="1"/>
    <row r="47" spans="1:6" ht="11" customHeight="1">
      <c r="B47" s="73" t="s">
        <v>1094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pageOrder="overThenDown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  <pageSetUpPr autoPageBreaks="0"/>
  </sheetPr>
  <dimension ref="A1:J47"/>
  <sheetViews>
    <sheetView topLeftCell="A21" zoomScale="110" zoomScaleNormal="110" workbookViewId="0">
      <selection activeCell="F38" sqref="F38"/>
    </sheetView>
  </sheetViews>
  <sheetFormatPr baseColWidth="10" defaultColWidth="9" defaultRowHeight="11.5" customHeight="1"/>
  <cols>
    <col min="1" max="1" width="5.5" style="73" customWidth="1"/>
    <col min="2" max="2" width="42.1640625" style="73" customWidth="1"/>
    <col min="3" max="3" width="12.5" style="73" customWidth="1"/>
    <col min="4" max="4" width="8.5" style="73" customWidth="1"/>
    <col min="5" max="5" width="9.5" style="73" customWidth="1"/>
    <col min="6" max="6" width="14.1640625" style="73" customWidth="1"/>
    <col min="7" max="7" width="9" style="72"/>
    <col min="8" max="8" width="30.5" style="72" customWidth="1"/>
    <col min="9" max="16384" width="9" style="72"/>
  </cols>
  <sheetData>
    <row r="1" spans="1:10" ht="11" customHeight="1">
      <c r="F1" s="97" t="s">
        <v>1161</v>
      </c>
    </row>
    <row r="2" spans="1:10" ht="11" customHeight="1">
      <c r="F2" s="97" t="s">
        <v>1160</v>
      </c>
    </row>
    <row r="3" spans="1:10" ht="11" customHeight="1">
      <c r="F3" s="97" t="s">
        <v>1159</v>
      </c>
    </row>
    <row r="4" spans="1:10" ht="11" customHeight="1">
      <c r="F4" s="97" t="s">
        <v>1158</v>
      </c>
    </row>
    <row r="5" spans="1:10" ht="16" customHeight="1">
      <c r="A5" s="96" t="s">
        <v>1157</v>
      </c>
      <c r="F5" s="95" t="s">
        <v>1156</v>
      </c>
    </row>
    <row r="6" spans="1:10" ht="11" customHeight="1"/>
    <row r="7" spans="1:10" ht="13" customHeight="1">
      <c r="A7" s="353" t="s">
        <v>1175</v>
      </c>
      <c r="B7" s="353"/>
      <c r="C7" s="353"/>
      <c r="D7" s="353"/>
      <c r="E7" s="353"/>
      <c r="F7" s="353"/>
    </row>
    <row r="8" spans="1:10" s="94" customFormat="1" ht="3" customHeight="1"/>
    <row r="9" spans="1:10" ht="11" customHeight="1">
      <c r="A9" s="79" t="s">
        <v>1154</v>
      </c>
      <c r="B9" s="79" t="s">
        <v>1153</v>
      </c>
      <c r="C9" s="79" t="s">
        <v>1152</v>
      </c>
      <c r="D9" s="79" t="s">
        <v>1151</v>
      </c>
      <c r="E9" s="79" t="s">
        <v>1239</v>
      </c>
      <c r="F9" s="79" t="s">
        <v>1240</v>
      </c>
    </row>
    <row r="10" spans="1:10" ht="15.75" customHeight="1">
      <c r="A10" s="92">
        <v>1</v>
      </c>
      <c r="B10" s="91" t="s">
        <v>1149</v>
      </c>
      <c r="C10" s="90" t="s">
        <v>1120</v>
      </c>
      <c r="D10" s="93">
        <v>0.49099999999999999</v>
      </c>
      <c r="E10" s="79" t="s">
        <v>1150</v>
      </c>
      <c r="F10" s="99">
        <f t="shared" ref="F10:F22" si="0">D10*E10</f>
        <v>86.906999999999996</v>
      </c>
      <c r="H10" s="89" t="s">
        <v>1149</v>
      </c>
      <c r="I10" s="88" t="s">
        <v>1120</v>
      </c>
      <c r="J10" s="93" t="s">
        <v>1148</v>
      </c>
    </row>
    <row r="11" spans="1:10" ht="15" customHeight="1">
      <c r="A11" s="92">
        <v>2</v>
      </c>
      <c r="B11" s="91" t="s">
        <v>1146</v>
      </c>
      <c r="C11" s="90" t="s">
        <v>1120</v>
      </c>
      <c r="D11" s="93">
        <v>0.24</v>
      </c>
      <c r="E11" s="79" t="s">
        <v>1147</v>
      </c>
      <c r="F11" s="99">
        <f t="shared" si="0"/>
        <v>42.239999999999995</v>
      </c>
      <c r="H11" s="89" t="s">
        <v>1146</v>
      </c>
      <c r="I11" s="88" t="s">
        <v>1120</v>
      </c>
      <c r="J11" s="93" t="s">
        <v>1145</v>
      </c>
    </row>
    <row r="12" spans="1:10" ht="15" customHeight="1">
      <c r="A12" s="92">
        <v>3</v>
      </c>
      <c r="B12" s="91" t="s">
        <v>1144</v>
      </c>
      <c r="C12" s="90" t="s">
        <v>1140</v>
      </c>
      <c r="D12" s="93" t="s">
        <v>1142</v>
      </c>
      <c r="E12" s="79">
        <v>4.96</v>
      </c>
      <c r="F12" s="99">
        <f t="shared" si="0"/>
        <v>4.96</v>
      </c>
      <c r="H12" s="89" t="s">
        <v>1144</v>
      </c>
      <c r="I12" s="88" t="s">
        <v>1140</v>
      </c>
      <c r="J12" s="93" t="s">
        <v>1142</v>
      </c>
    </row>
    <row r="13" spans="1:10" ht="27" customHeight="1">
      <c r="A13" s="92">
        <v>4</v>
      </c>
      <c r="B13" s="91" t="s">
        <v>1143</v>
      </c>
      <c r="C13" s="90" t="s">
        <v>1140</v>
      </c>
      <c r="D13" s="93" t="s">
        <v>1108</v>
      </c>
      <c r="E13" s="79">
        <v>2.4500000000000002</v>
      </c>
      <c r="F13" s="99">
        <f t="shared" si="0"/>
        <v>9.8000000000000007</v>
      </c>
      <c r="H13" s="89" t="s">
        <v>1143</v>
      </c>
      <c r="I13" s="88" t="s">
        <v>1140</v>
      </c>
      <c r="J13" s="93" t="s">
        <v>1108</v>
      </c>
    </row>
    <row r="14" spans="1:10" ht="18" customHeight="1">
      <c r="A14" s="92">
        <v>5</v>
      </c>
      <c r="B14" s="91" t="s">
        <v>1141</v>
      </c>
      <c r="C14" s="90" t="s">
        <v>1140</v>
      </c>
      <c r="D14" s="93">
        <v>1</v>
      </c>
      <c r="E14" s="79">
        <v>0.41</v>
      </c>
      <c r="F14" s="99">
        <f t="shared" si="0"/>
        <v>0.41</v>
      </c>
      <c r="H14" s="89" t="s">
        <v>1141</v>
      </c>
      <c r="I14" s="88" t="s">
        <v>1140</v>
      </c>
      <c r="J14" s="93" t="s">
        <v>1139</v>
      </c>
    </row>
    <row r="15" spans="1:10" ht="15.75" customHeight="1">
      <c r="A15" s="92">
        <v>6</v>
      </c>
      <c r="B15" s="91" t="s">
        <v>1247</v>
      </c>
      <c r="C15" s="90" t="s">
        <v>1120</v>
      </c>
      <c r="D15" s="93">
        <v>0.496</v>
      </c>
      <c r="E15" s="79" t="s">
        <v>1138</v>
      </c>
      <c r="F15" s="99">
        <f t="shared" si="0"/>
        <v>39.68</v>
      </c>
      <c r="H15" s="89" t="s">
        <v>1137</v>
      </c>
      <c r="I15" s="88" t="s">
        <v>1120</v>
      </c>
      <c r="J15" s="93" t="s">
        <v>1136</v>
      </c>
    </row>
    <row r="16" spans="1:10" ht="17.25" customHeight="1">
      <c r="A16" s="92">
        <v>7</v>
      </c>
      <c r="B16" s="91" t="s">
        <v>1135</v>
      </c>
      <c r="C16" s="90" t="s">
        <v>1120</v>
      </c>
      <c r="D16" s="93">
        <v>0.99199999999999999</v>
      </c>
      <c r="E16" s="79">
        <v>213.1</v>
      </c>
      <c r="F16" s="99">
        <f t="shared" si="0"/>
        <v>211.39519999999999</v>
      </c>
      <c r="H16" s="89" t="s">
        <v>1135</v>
      </c>
      <c r="I16" s="88" t="s">
        <v>1120</v>
      </c>
      <c r="J16" s="87" t="s">
        <v>1174</v>
      </c>
    </row>
    <row r="17" spans="1:10" ht="17.25" customHeight="1">
      <c r="A17" s="92">
        <v>8</v>
      </c>
      <c r="B17" s="91" t="s">
        <v>1248</v>
      </c>
      <c r="C17" s="90" t="s">
        <v>1120</v>
      </c>
      <c r="D17" s="93">
        <v>5.7519999999999998</v>
      </c>
      <c r="E17" s="79" t="s">
        <v>1133</v>
      </c>
      <c r="F17" s="99">
        <f t="shared" si="0"/>
        <v>402.64</v>
      </c>
      <c r="H17" s="89" t="s">
        <v>1132</v>
      </c>
      <c r="I17" s="88" t="s">
        <v>1120</v>
      </c>
      <c r="J17" s="93" t="s">
        <v>1131</v>
      </c>
    </row>
    <row r="18" spans="1:10" ht="18" customHeight="1">
      <c r="A18" s="92">
        <v>9</v>
      </c>
      <c r="B18" s="91" t="s">
        <v>1245</v>
      </c>
      <c r="C18" s="90" t="s">
        <v>1120</v>
      </c>
      <c r="D18" s="93">
        <v>0.54</v>
      </c>
      <c r="E18" s="79">
        <v>68.75</v>
      </c>
      <c r="F18" s="99">
        <f t="shared" si="0"/>
        <v>37.125</v>
      </c>
      <c r="H18" s="89" t="s">
        <v>1130</v>
      </c>
      <c r="I18" s="88" t="s">
        <v>1120</v>
      </c>
      <c r="J18" s="93" t="s">
        <v>1129</v>
      </c>
    </row>
    <row r="19" spans="1:10" ht="18" customHeight="1">
      <c r="A19" s="92">
        <v>10</v>
      </c>
      <c r="B19" s="91" t="s">
        <v>1249</v>
      </c>
      <c r="C19" s="90" t="s">
        <v>1120</v>
      </c>
      <c r="D19" s="93">
        <v>9.6839999999999993</v>
      </c>
      <c r="E19" s="79">
        <v>66.67</v>
      </c>
      <c r="F19" s="99">
        <f t="shared" si="0"/>
        <v>645.63227999999992</v>
      </c>
      <c r="H19" s="89" t="s">
        <v>1173</v>
      </c>
      <c r="I19" s="88" t="s">
        <v>1120</v>
      </c>
      <c r="J19" s="87" t="s">
        <v>1172</v>
      </c>
    </row>
    <row r="20" spans="1:10" ht="18.75" customHeight="1">
      <c r="A20" s="92">
        <v>11</v>
      </c>
      <c r="B20" s="91" t="s">
        <v>1250</v>
      </c>
      <c r="C20" s="90" t="s">
        <v>1120</v>
      </c>
      <c r="D20" s="93">
        <v>1.804</v>
      </c>
      <c r="E20" s="79">
        <v>66.67</v>
      </c>
      <c r="F20" s="99">
        <f t="shared" si="0"/>
        <v>120.27268000000001</v>
      </c>
      <c r="H20" s="89" t="s">
        <v>1126</v>
      </c>
      <c r="I20" s="88" t="s">
        <v>1120</v>
      </c>
      <c r="J20" s="93" t="s">
        <v>1125</v>
      </c>
    </row>
    <row r="21" spans="1:10" ht="15.75" customHeight="1">
      <c r="A21" s="92">
        <v>12</v>
      </c>
      <c r="B21" s="91" t="s">
        <v>1243</v>
      </c>
      <c r="C21" s="90" t="s">
        <v>1120</v>
      </c>
      <c r="D21" s="93">
        <v>1.784</v>
      </c>
      <c r="E21" s="79">
        <v>69.17</v>
      </c>
      <c r="F21" s="99">
        <f t="shared" si="0"/>
        <v>123.39928</v>
      </c>
      <c r="H21" s="89" t="s">
        <v>1124</v>
      </c>
      <c r="I21" s="88" t="s">
        <v>1120</v>
      </c>
      <c r="J21" s="87" t="s">
        <v>1171</v>
      </c>
    </row>
    <row r="22" spans="1:10" ht="21" customHeight="1">
      <c r="A22" s="92">
        <v>13</v>
      </c>
      <c r="B22" s="91" t="s">
        <v>1121</v>
      </c>
      <c r="C22" s="90" t="s">
        <v>1120</v>
      </c>
      <c r="D22" s="93">
        <v>3.9E-2</v>
      </c>
      <c r="E22" s="79" t="s">
        <v>1122</v>
      </c>
      <c r="F22" s="99">
        <f t="shared" si="0"/>
        <v>11.31</v>
      </c>
      <c r="H22" s="89" t="s">
        <v>1121</v>
      </c>
      <c r="I22" s="88" t="s">
        <v>1120</v>
      </c>
      <c r="J22" s="87" t="s">
        <v>1170</v>
      </c>
    </row>
    <row r="23" spans="1:10" ht="32.25" customHeight="1">
      <c r="A23" s="85"/>
      <c r="B23" s="77" t="s">
        <v>1118</v>
      </c>
      <c r="C23" s="77"/>
      <c r="D23" s="77"/>
      <c r="E23" s="77"/>
      <c r="F23" s="98">
        <f>SUM(F10:F22)</f>
        <v>1735.77144</v>
      </c>
    </row>
    <row r="24" spans="1:10" ht="18.75" customHeight="1">
      <c r="A24" s="84"/>
      <c r="B24" s="76" t="s">
        <v>1117</v>
      </c>
      <c r="C24" s="76"/>
      <c r="D24" s="76"/>
      <c r="E24" s="80">
        <v>0.01</v>
      </c>
      <c r="F24" s="99">
        <f>F23*E24</f>
        <v>17.357714399999999</v>
      </c>
    </row>
    <row r="25" spans="1:10" ht="27.75" customHeight="1">
      <c r="A25" s="83"/>
      <c r="B25" s="77" t="s">
        <v>1116</v>
      </c>
      <c r="C25" s="77"/>
      <c r="D25" s="77"/>
      <c r="E25" s="77"/>
      <c r="F25" s="98">
        <f>SUM(F23,F24)</f>
        <v>1753.1291544000001</v>
      </c>
    </row>
    <row r="26" spans="1:10" ht="26.25" customHeight="1">
      <c r="A26" s="76" t="s">
        <v>1115</v>
      </c>
      <c r="B26" s="76" t="s">
        <v>1114</v>
      </c>
      <c r="C26" s="76"/>
      <c r="D26" s="76"/>
      <c r="E26" s="80">
        <v>0.11</v>
      </c>
      <c r="F26" s="99">
        <f>F25*E26</f>
        <v>192.84420698400001</v>
      </c>
    </row>
    <row r="27" spans="1:10" ht="20.25" customHeight="1">
      <c r="A27" s="76"/>
      <c r="B27" s="81" t="s">
        <v>1113</v>
      </c>
      <c r="C27" s="76"/>
      <c r="D27" s="76"/>
      <c r="E27" s="80">
        <v>0.14000000000000001</v>
      </c>
      <c r="F27" s="99">
        <f>F26*E27</f>
        <v>26.998188977760005</v>
      </c>
    </row>
    <row r="28" spans="1:10" ht="22.5" customHeight="1">
      <c r="A28" s="76"/>
      <c r="B28" s="81" t="s">
        <v>1112</v>
      </c>
      <c r="C28" s="76"/>
      <c r="D28" s="76"/>
      <c r="E28" s="82">
        <v>0.309</v>
      </c>
      <c r="F28" s="99">
        <f>(F26+F27)*E28</f>
        <v>67.93130035218384</v>
      </c>
    </row>
    <row r="29" spans="1:10" ht="18" customHeight="1">
      <c r="A29" s="76"/>
      <c r="B29" s="81" t="s">
        <v>1111</v>
      </c>
      <c r="C29" s="76"/>
      <c r="D29" s="76"/>
      <c r="E29" s="82">
        <v>0</v>
      </c>
      <c r="F29" s="99">
        <v>0</v>
      </c>
    </row>
    <row r="30" spans="1:10" ht="21" customHeight="1">
      <c r="A30" s="76" t="s">
        <v>1110</v>
      </c>
      <c r="B30" s="81" t="s">
        <v>1109</v>
      </c>
      <c r="C30" s="76"/>
      <c r="D30" s="76"/>
      <c r="E30" s="80">
        <v>1.5</v>
      </c>
      <c r="F30" s="99">
        <f>F26*E30</f>
        <v>289.266310476</v>
      </c>
    </row>
    <row r="31" spans="1:10" ht="21.75" customHeight="1">
      <c r="A31" s="76" t="s">
        <v>1108</v>
      </c>
      <c r="B31" s="76" t="s">
        <v>1107</v>
      </c>
      <c r="C31" s="76"/>
      <c r="D31" s="76"/>
      <c r="E31" s="79"/>
      <c r="F31" s="99">
        <f>F25+F26+F27+F28+F29+F30</f>
        <v>2330.1691611899441</v>
      </c>
    </row>
    <row r="32" spans="1:10" ht="18" customHeight="1">
      <c r="A32" s="76" t="s">
        <v>1106</v>
      </c>
      <c r="B32" s="76" t="s">
        <v>1105</v>
      </c>
      <c r="C32" s="76"/>
      <c r="D32" s="76"/>
      <c r="E32" s="80">
        <v>1</v>
      </c>
      <c r="F32" s="99">
        <f>F26*E32</f>
        <v>192.84420698400001</v>
      </c>
    </row>
    <row r="33" spans="1:6" ht="19.5" customHeight="1">
      <c r="A33" s="76"/>
      <c r="B33" s="76"/>
      <c r="C33" s="76"/>
      <c r="D33" s="76"/>
      <c r="E33" s="80">
        <v>0.8</v>
      </c>
      <c r="F33" s="99">
        <f>F26*E33</f>
        <v>154.27536558720001</v>
      </c>
    </row>
    <row r="34" spans="1:6" ht="19.5" customHeight="1">
      <c r="A34" s="76" t="s">
        <v>1104</v>
      </c>
      <c r="B34" s="76" t="s">
        <v>1103</v>
      </c>
      <c r="C34" s="76"/>
      <c r="D34" s="76"/>
      <c r="E34" s="79"/>
      <c r="F34" s="99">
        <f>F31+F32</f>
        <v>2523.0133681739439</v>
      </c>
    </row>
    <row r="35" spans="1:6" ht="15.75" customHeight="1">
      <c r="A35" s="76"/>
      <c r="B35" s="76"/>
      <c r="C35" s="76"/>
      <c r="D35" s="76"/>
      <c r="E35" s="79"/>
      <c r="F35" s="99">
        <f>F31+F33</f>
        <v>2484.4445267771443</v>
      </c>
    </row>
    <row r="36" spans="1:6" ht="21.75" customHeight="1">
      <c r="A36" s="76" t="s">
        <v>1102</v>
      </c>
      <c r="B36" s="76" t="s">
        <v>83</v>
      </c>
      <c r="C36" s="76"/>
      <c r="D36" s="76"/>
      <c r="E36" s="80">
        <v>0.4</v>
      </c>
      <c r="F36" s="99">
        <f>F34*E36</f>
        <v>1009.2053472695776</v>
      </c>
    </row>
    <row r="37" spans="1:6" ht="21" customHeight="1">
      <c r="A37" s="76"/>
      <c r="B37" s="76"/>
      <c r="C37" s="76"/>
      <c r="D37" s="76"/>
      <c r="E37" s="80">
        <v>7.0000000000000007E-2</v>
      </c>
      <c r="F37" s="99">
        <f>F35*E37</f>
        <v>173.91111687440011</v>
      </c>
    </row>
    <row r="38" spans="1:6" ht="17.25" customHeight="1">
      <c r="A38" s="76" t="s">
        <v>1101</v>
      </c>
      <c r="B38" s="76" t="s">
        <v>1100</v>
      </c>
      <c r="C38" s="76"/>
      <c r="D38" s="76"/>
      <c r="E38" s="79"/>
      <c r="F38" s="99">
        <v>73.55</v>
      </c>
    </row>
    <row r="39" spans="1:6" ht="22.5" customHeight="1">
      <c r="A39" s="76"/>
      <c r="B39" s="76" t="s">
        <v>1099</v>
      </c>
      <c r="C39" s="76"/>
      <c r="D39" s="76"/>
      <c r="E39" s="79"/>
      <c r="F39" s="99">
        <f>F34+F36+F38</f>
        <v>3605.7687154435216</v>
      </c>
    </row>
    <row r="40" spans="1:6" ht="16.5" customHeight="1">
      <c r="A40" s="76"/>
      <c r="B40" s="76"/>
      <c r="C40" s="76"/>
      <c r="D40" s="76"/>
      <c r="E40" s="79"/>
      <c r="F40" s="99">
        <f>F35+F37+F38</f>
        <v>2731.9056436515448</v>
      </c>
    </row>
    <row r="41" spans="1:6" ht="12" customHeight="1">
      <c r="A41" s="76"/>
      <c r="B41" s="76" t="s">
        <v>1098</v>
      </c>
      <c r="C41" s="76"/>
      <c r="D41" s="76"/>
      <c r="E41" s="80">
        <v>0.22</v>
      </c>
      <c r="F41" s="99">
        <f>F39*E41</f>
        <v>793.26911739757475</v>
      </c>
    </row>
    <row r="42" spans="1:6" ht="13.5" customHeight="1">
      <c r="A42" s="76"/>
      <c r="B42" s="76"/>
      <c r="C42" s="76"/>
      <c r="D42" s="76"/>
      <c r="E42" s="80">
        <v>0.22</v>
      </c>
      <c r="F42" s="99">
        <f>F40*E42</f>
        <v>601.01924160333988</v>
      </c>
    </row>
    <row r="43" spans="1:6" ht="15" customHeight="1">
      <c r="A43" s="76"/>
      <c r="B43" s="77" t="s">
        <v>1097</v>
      </c>
      <c r="C43" s="76"/>
      <c r="D43" s="76"/>
      <c r="E43" s="75" t="s">
        <v>1096</v>
      </c>
      <c r="F43" s="98">
        <f>F39+F41</f>
        <v>4399.0378328410961</v>
      </c>
    </row>
    <row r="44" spans="1:6" ht="17.25" customHeight="1">
      <c r="A44" s="76"/>
      <c r="B44" s="76"/>
      <c r="C44" s="76"/>
      <c r="D44" s="76"/>
      <c r="E44" s="75" t="s">
        <v>1095</v>
      </c>
      <c r="F44" s="98">
        <f>F40+F42</f>
        <v>3332.9248852548844</v>
      </c>
    </row>
    <row r="45" spans="1:6" ht="11" customHeight="1"/>
    <row r="46" spans="1:6" ht="11" customHeight="1"/>
    <row r="47" spans="1:6" ht="11" customHeight="1">
      <c r="B47" s="73" t="s">
        <v>1094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pageOrder="overThenDown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T43"/>
  <sheetViews>
    <sheetView workbookViewId="0">
      <selection activeCell="S42" sqref="S42"/>
    </sheetView>
  </sheetViews>
  <sheetFormatPr baseColWidth="10" defaultColWidth="11" defaultRowHeight="16"/>
  <cols>
    <col min="1" max="1" width="3.1640625" bestFit="1" customWidth="1"/>
    <col min="2" max="2" width="37.33203125" bestFit="1" customWidth="1"/>
    <col min="3" max="3" width="8.33203125" bestFit="1" customWidth="1"/>
    <col min="4" max="4" width="7.1640625" bestFit="1" customWidth="1"/>
    <col min="5" max="5" width="10.1640625" bestFit="1" customWidth="1"/>
    <col min="6" max="6" width="25.5" bestFit="1" customWidth="1"/>
    <col min="8" max="8" width="22.5" bestFit="1" customWidth="1"/>
    <col min="9" max="9" width="3.1640625" bestFit="1" customWidth="1"/>
    <col min="10" max="10" width="6.1640625" bestFit="1" customWidth="1"/>
    <col min="11" max="11" width="3.1640625" bestFit="1" customWidth="1"/>
    <col min="12" max="12" width="17.1640625" bestFit="1" customWidth="1"/>
    <col min="13" max="13" width="8.33203125" bestFit="1" customWidth="1"/>
    <col min="14" max="14" width="7.1640625" bestFit="1" customWidth="1"/>
    <col min="15" max="15" width="10.1640625" bestFit="1" customWidth="1"/>
    <col min="17" max="17" width="7.1640625" bestFit="1" customWidth="1"/>
    <col min="18" max="18" width="32.5" bestFit="1" customWidth="1"/>
    <col min="19" max="19" width="5.1640625" bestFit="1" customWidth="1"/>
    <col min="20" max="20" width="5.6640625" bestFit="1" customWidth="1"/>
  </cols>
  <sheetData>
    <row r="1" spans="1:18">
      <c r="A1" s="188"/>
      <c r="B1" s="188"/>
      <c r="C1" s="188"/>
      <c r="D1" s="188"/>
      <c r="E1" s="189"/>
      <c r="F1" s="190" t="s">
        <v>1161</v>
      </c>
    </row>
    <row r="2" spans="1:18">
      <c r="A2" s="188"/>
      <c r="B2" s="188"/>
      <c r="C2" s="188"/>
      <c r="D2" s="188"/>
      <c r="E2" s="189"/>
      <c r="F2" s="190" t="s">
        <v>1272</v>
      </c>
    </row>
    <row r="3" spans="1:18">
      <c r="A3" s="188"/>
      <c r="B3" s="188"/>
      <c r="C3" s="188"/>
      <c r="D3" s="188"/>
      <c r="E3" s="189"/>
      <c r="F3" s="190" t="s">
        <v>1159</v>
      </c>
    </row>
    <row r="4" spans="1:18">
      <c r="A4" s="188"/>
      <c r="B4" s="188"/>
      <c r="C4" s="188"/>
      <c r="D4" s="188"/>
      <c r="E4" s="189"/>
      <c r="F4" s="190" t="s">
        <v>1273</v>
      </c>
    </row>
    <row r="5" spans="1:18">
      <c r="A5" s="189"/>
      <c r="B5" s="191" t="s">
        <v>1157</v>
      </c>
      <c r="C5" s="189"/>
      <c r="D5" s="189"/>
      <c r="E5" s="189"/>
      <c r="F5" s="192" t="s">
        <v>1156</v>
      </c>
    </row>
    <row r="6" spans="1:18">
      <c r="A6" s="189"/>
      <c r="B6" s="193" t="s">
        <v>1274</v>
      </c>
      <c r="C6" s="189"/>
      <c r="D6" s="189"/>
      <c r="E6" s="189"/>
      <c r="F6" s="194"/>
    </row>
    <row r="7" spans="1:18">
      <c r="A7" s="189"/>
      <c r="B7" s="191"/>
      <c r="C7" s="189"/>
      <c r="D7" s="189"/>
      <c r="E7" s="189"/>
      <c r="F7" s="194"/>
    </row>
    <row r="8" spans="1:18" ht="34">
      <c r="A8" s="195" t="s">
        <v>1154</v>
      </c>
      <c r="B8" s="196" t="s">
        <v>1153</v>
      </c>
      <c r="C8" s="197" t="s">
        <v>1275</v>
      </c>
      <c r="D8" s="197" t="s">
        <v>1276</v>
      </c>
      <c r="E8" s="197" t="s">
        <v>1277</v>
      </c>
      <c r="F8" s="198" t="s">
        <v>1278</v>
      </c>
      <c r="G8" s="199" t="s">
        <v>1279</v>
      </c>
      <c r="H8" s="200"/>
      <c r="K8" s="189"/>
      <c r="L8" s="191" t="s">
        <v>1157</v>
      </c>
      <c r="M8" s="189"/>
      <c r="N8" s="189"/>
      <c r="O8" s="189"/>
      <c r="P8" s="192"/>
    </row>
    <row r="9" spans="1:18">
      <c r="A9" s="201"/>
      <c r="B9" s="1" t="s">
        <v>1280</v>
      </c>
      <c r="C9" s="202" t="s">
        <v>1120</v>
      </c>
      <c r="D9" s="203">
        <v>1.0669999999999999</v>
      </c>
      <c r="E9" s="204">
        <v>56.56</v>
      </c>
      <c r="F9" s="205">
        <f t="shared" ref="F9:F11" si="0">D9*E9</f>
        <v>60.349519999999998</v>
      </c>
      <c r="G9" s="199"/>
      <c r="H9" s="200"/>
      <c r="K9" s="189"/>
      <c r="L9" s="226" t="s">
        <v>1293</v>
      </c>
      <c r="M9" s="189"/>
      <c r="N9" s="189"/>
      <c r="O9" s="189"/>
      <c r="P9" s="194"/>
    </row>
    <row r="10" spans="1:18">
      <c r="A10" s="351"/>
      <c r="B10" s="1" t="s">
        <v>1281</v>
      </c>
      <c r="C10" s="202" t="s">
        <v>1120</v>
      </c>
      <c r="D10" s="203">
        <v>0.12421965599999998</v>
      </c>
      <c r="E10" s="204">
        <v>70.489999999999995</v>
      </c>
      <c r="F10" s="205">
        <f t="shared" si="0"/>
        <v>8.756243551439999</v>
      </c>
      <c r="G10" s="206"/>
      <c r="K10" s="189"/>
      <c r="L10" s="191"/>
      <c r="M10" s="189"/>
      <c r="N10" s="189"/>
      <c r="O10" s="189"/>
      <c r="P10" s="194"/>
    </row>
    <row r="11" spans="1:18" ht="35">
      <c r="A11" s="351"/>
      <c r="B11" s="1" t="s">
        <v>1282</v>
      </c>
      <c r="C11" s="202" t="s">
        <v>1120</v>
      </c>
      <c r="D11" s="203">
        <v>3.9891621000000002E-2</v>
      </c>
      <c r="E11" s="204">
        <v>191.41</v>
      </c>
      <c r="F11" s="205">
        <f t="shared" si="0"/>
        <v>7.6356551756100002</v>
      </c>
      <c r="G11" s="207">
        <v>0.13300000000000001</v>
      </c>
      <c r="K11" s="195" t="s">
        <v>1154</v>
      </c>
      <c r="L11" s="196" t="s">
        <v>1153</v>
      </c>
      <c r="M11" s="197" t="s">
        <v>1275</v>
      </c>
      <c r="N11" s="197" t="s">
        <v>1276</v>
      </c>
      <c r="O11" s="197" t="s">
        <v>1277</v>
      </c>
      <c r="P11" s="198" t="s">
        <v>1278</v>
      </c>
      <c r="Q11" s="199" t="s">
        <v>1279</v>
      </c>
      <c r="R11" s="227"/>
    </row>
    <row r="12" spans="1:18">
      <c r="A12" s="351"/>
      <c r="B12" s="1" t="s">
        <v>1283</v>
      </c>
      <c r="C12" s="202" t="s">
        <v>1177</v>
      </c>
      <c r="D12" s="203">
        <v>0.29993700000000001</v>
      </c>
      <c r="E12" s="204">
        <v>290</v>
      </c>
      <c r="F12" s="205">
        <f>D12*E12*G12/1000</f>
        <v>0.43490864999999995</v>
      </c>
      <c r="G12" s="207">
        <v>5</v>
      </c>
      <c r="K12" s="355">
        <v>1</v>
      </c>
      <c r="L12" s="220" t="s">
        <v>1294</v>
      </c>
      <c r="M12" s="202" t="s">
        <v>1120</v>
      </c>
      <c r="N12" s="203">
        <v>1.62338</v>
      </c>
      <c r="O12" s="204">
        <v>51.64</v>
      </c>
      <c r="P12" s="205">
        <f>N12*O12</f>
        <v>83.831343200000006</v>
      </c>
      <c r="Q12" s="228"/>
    </row>
    <row r="13" spans="1:18">
      <c r="A13" s="351"/>
      <c r="B13" s="1" t="s">
        <v>1149</v>
      </c>
      <c r="C13" s="202" t="s">
        <v>1284</v>
      </c>
      <c r="D13" s="202">
        <v>8</v>
      </c>
      <c r="E13" s="204">
        <v>0.91</v>
      </c>
      <c r="F13" s="205">
        <f t="shared" ref="F13:F14" si="1">D13*E13</f>
        <v>7.28</v>
      </c>
      <c r="G13" s="207"/>
      <c r="K13" s="351"/>
      <c r="L13" s="220" t="s">
        <v>1295</v>
      </c>
      <c r="M13" s="202" t="s">
        <v>1120</v>
      </c>
      <c r="N13" s="203">
        <v>0.32292136800000004</v>
      </c>
      <c r="O13" s="204">
        <v>61.48</v>
      </c>
      <c r="P13" s="205">
        <f t="shared" ref="P13:P19" si="2">N13*O13</f>
        <v>19.853205704640001</v>
      </c>
      <c r="Q13" s="228"/>
    </row>
    <row r="14" spans="1:18">
      <c r="A14" s="351"/>
      <c r="B14" s="1" t="s">
        <v>1146</v>
      </c>
      <c r="C14" s="202" t="s">
        <v>1284</v>
      </c>
      <c r="D14" s="202">
        <v>8</v>
      </c>
      <c r="E14" s="204">
        <v>0.46</v>
      </c>
      <c r="F14" s="205">
        <f t="shared" si="1"/>
        <v>3.68</v>
      </c>
      <c r="G14" s="207"/>
      <c r="K14" s="351"/>
      <c r="L14" s="220" t="s">
        <v>1126</v>
      </c>
      <c r="M14" s="202" t="s">
        <v>1120</v>
      </c>
      <c r="N14" s="203">
        <v>0.45137500000000003</v>
      </c>
      <c r="O14" s="204">
        <v>50.82</v>
      </c>
      <c r="P14" s="205">
        <f t="shared" si="2"/>
        <v>22.9388775</v>
      </c>
    </row>
    <row r="15" spans="1:18">
      <c r="A15" s="351"/>
      <c r="B15" s="208" t="s">
        <v>1118</v>
      </c>
      <c r="C15" s="209"/>
      <c r="D15" s="210"/>
      <c r="E15" s="211"/>
      <c r="F15" s="212">
        <f>SUM(F9:F14)</f>
        <v>88.136327377049994</v>
      </c>
      <c r="K15" s="351"/>
      <c r="L15" s="220" t="s">
        <v>1282</v>
      </c>
      <c r="M15" s="202" t="s">
        <v>1120</v>
      </c>
      <c r="N15" s="203">
        <v>0.17748371200000002</v>
      </c>
      <c r="O15" s="204">
        <v>191.41</v>
      </c>
      <c r="P15" s="205">
        <f>N15*O15</f>
        <v>33.97215731392</v>
      </c>
      <c r="Q15" s="206">
        <v>0.13300000000000001</v>
      </c>
    </row>
    <row r="16" spans="1:18">
      <c r="A16" s="351"/>
      <c r="B16" s="213" t="s">
        <v>1285</v>
      </c>
      <c r="C16" s="214"/>
      <c r="D16" s="202"/>
      <c r="E16" s="215">
        <v>0.01</v>
      </c>
      <c r="F16" s="205">
        <f>F15*E16</f>
        <v>0.88136327377049994</v>
      </c>
      <c r="K16" s="351"/>
      <c r="L16" s="220" t="s">
        <v>1283</v>
      </c>
      <c r="M16" s="202" t="s">
        <v>1177</v>
      </c>
      <c r="N16" s="203">
        <v>1.3344640000000001</v>
      </c>
      <c r="O16" s="204">
        <v>290</v>
      </c>
      <c r="P16" s="205">
        <f>N16*O16*Q16/1000</f>
        <v>1.9349728000000002</v>
      </c>
      <c r="Q16" s="206">
        <v>5</v>
      </c>
    </row>
    <row r="17" spans="1:17">
      <c r="A17" s="352"/>
      <c r="B17" s="208" t="s">
        <v>1286</v>
      </c>
      <c r="C17" s="214"/>
      <c r="D17" s="202"/>
      <c r="E17" s="202"/>
      <c r="F17" s="212">
        <f>SUM(F15:F16)</f>
        <v>89.017690650820498</v>
      </c>
      <c r="K17" s="351"/>
      <c r="L17" s="229" t="s">
        <v>1149</v>
      </c>
      <c r="M17" s="202" t="s">
        <v>1120</v>
      </c>
      <c r="N17" s="203">
        <v>4.0960000000000003E-2</v>
      </c>
      <c r="O17" s="204">
        <v>180</v>
      </c>
      <c r="P17" s="205">
        <f t="shared" si="2"/>
        <v>7.3728000000000007</v>
      </c>
      <c r="Q17" s="228"/>
    </row>
    <row r="18" spans="1:17">
      <c r="A18" s="195">
        <v>2</v>
      </c>
      <c r="B18" s="208" t="s">
        <v>1114</v>
      </c>
      <c r="C18" s="214"/>
      <c r="D18" s="202"/>
      <c r="E18" s="215">
        <v>0.14000000000000001</v>
      </c>
      <c r="F18" s="205">
        <f>F17*E18</f>
        <v>12.462476691114871</v>
      </c>
      <c r="K18" s="351"/>
      <c r="L18" s="229" t="s">
        <v>1146</v>
      </c>
      <c r="M18" s="202" t="s">
        <v>1120</v>
      </c>
      <c r="N18" s="203">
        <v>0.02</v>
      </c>
      <c r="O18" s="204">
        <v>179</v>
      </c>
      <c r="P18" s="205">
        <f t="shared" si="2"/>
        <v>3.58</v>
      </c>
      <c r="Q18" s="228"/>
    </row>
    <row r="19" spans="1:17">
      <c r="A19" s="195"/>
      <c r="B19" s="213" t="s">
        <v>1113</v>
      </c>
      <c r="C19" s="214"/>
      <c r="D19" s="202"/>
      <c r="E19" s="215">
        <v>0.14000000000000001</v>
      </c>
      <c r="F19" s="205">
        <f>F18*E19</f>
        <v>1.7447467367560821</v>
      </c>
      <c r="K19" s="351"/>
      <c r="L19" s="229" t="s">
        <v>1296</v>
      </c>
      <c r="M19" s="202" t="s">
        <v>1140</v>
      </c>
      <c r="N19" s="202">
        <v>2</v>
      </c>
      <c r="O19" s="204">
        <v>0.25</v>
      </c>
      <c r="P19" s="205">
        <f t="shared" si="2"/>
        <v>0.5</v>
      </c>
      <c r="Q19" s="228"/>
    </row>
    <row r="20" spans="1:17" ht="45">
      <c r="A20" s="195"/>
      <c r="B20" s="213" t="s">
        <v>1287</v>
      </c>
      <c r="C20" s="214"/>
      <c r="D20" s="202"/>
      <c r="E20" s="215"/>
      <c r="F20" s="205">
        <f>(F18+F19)*31.3%</f>
        <v>4.4468609329236086</v>
      </c>
      <c r="K20" s="351"/>
      <c r="L20" s="208" t="s">
        <v>1118</v>
      </c>
      <c r="M20" s="209"/>
      <c r="N20" s="210"/>
      <c r="O20" s="211"/>
      <c r="P20" s="212">
        <f>SUM(P12:P19)</f>
        <v>173.98335651856004</v>
      </c>
    </row>
    <row r="21" spans="1:17" ht="30">
      <c r="A21" s="195">
        <v>3</v>
      </c>
      <c r="B21" s="208" t="s">
        <v>1109</v>
      </c>
      <c r="C21" s="214"/>
      <c r="D21" s="202"/>
      <c r="E21" s="215">
        <v>1.5</v>
      </c>
      <c r="F21" s="205">
        <f>F18*E21</f>
        <v>18.693715036672305</v>
      </c>
      <c r="K21" s="351"/>
      <c r="L21" s="213" t="s">
        <v>1285</v>
      </c>
      <c r="M21" s="214"/>
      <c r="N21" s="202"/>
      <c r="O21" s="215">
        <v>0.01</v>
      </c>
      <c r="P21" s="205">
        <f>P20*O21</f>
        <v>1.7398335651856005</v>
      </c>
    </row>
    <row r="22" spans="1:17">
      <c r="A22" s="195">
        <v>4</v>
      </c>
      <c r="B22" s="208" t="s">
        <v>1107</v>
      </c>
      <c r="C22" s="214"/>
      <c r="D22" s="202"/>
      <c r="E22" s="216"/>
      <c r="F22" s="198">
        <f>F17+F18+F19+F20+F21</f>
        <v>126.36549004828737</v>
      </c>
      <c r="K22" s="352"/>
      <c r="L22" s="208" t="s">
        <v>1286</v>
      </c>
      <c r="M22" s="214"/>
      <c r="N22" s="202"/>
      <c r="O22" s="202"/>
      <c r="P22" s="212">
        <f>SUM(P20:P21)</f>
        <v>175.72319008374564</v>
      </c>
    </row>
    <row r="23" spans="1:17" ht="45">
      <c r="A23" s="195">
        <v>5</v>
      </c>
      <c r="B23" s="208" t="s">
        <v>1105</v>
      </c>
      <c r="C23" s="214"/>
      <c r="D23" s="202"/>
      <c r="E23" s="217">
        <v>1</v>
      </c>
      <c r="F23" s="218">
        <f>F18*E23</f>
        <v>12.462476691114871</v>
      </c>
      <c r="K23" s="195">
        <v>2</v>
      </c>
      <c r="L23" s="208" t="s">
        <v>1114</v>
      </c>
      <c r="M23" s="214"/>
      <c r="N23" s="202"/>
      <c r="O23" s="215">
        <v>0.14000000000000001</v>
      </c>
      <c r="P23" s="205">
        <f>P22*O23</f>
        <v>24.601246611724392</v>
      </c>
    </row>
    <row r="24" spans="1:17" ht="30">
      <c r="A24" s="195"/>
      <c r="B24" s="208"/>
      <c r="C24" s="214"/>
      <c r="D24" s="202"/>
      <c r="E24" s="217">
        <v>0.8</v>
      </c>
      <c r="F24" s="218">
        <f>F18*E24</f>
        <v>9.9699813528918977</v>
      </c>
      <c r="K24" s="195"/>
      <c r="L24" s="213" t="s">
        <v>1113</v>
      </c>
      <c r="M24" s="214"/>
      <c r="N24" s="202"/>
      <c r="O24" s="215">
        <v>0.14000000000000001</v>
      </c>
      <c r="P24" s="205">
        <f>P23*O24</f>
        <v>3.4441745256414151</v>
      </c>
    </row>
    <row r="25" spans="1:17" ht="45">
      <c r="A25" s="195">
        <v>6</v>
      </c>
      <c r="B25" s="208" t="s">
        <v>1288</v>
      </c>
      <c r="C25" s="214"/>
      <c r="D25" s="202"/>
      <c r="E25" s="202"/>
      <c r="F25" s="218">
        <f>F22+F23</f>
        <v>138.82796673940223</v>
      </c>
      <c r="K25" s="195"/>
      <c r="L25" s="213" t="s">
        <v>1287</v>
      </c>
      <c r="M25" s="214"/>
      <c r="N25" s="202"/>
      <c r="O25" s="215"/>
      <c r="P25" s="205">
        <f>(P23+P24)*30.9%</f>
        <v>8.6660351314460335</v>
      </c>
    </row>
    <row r="26" spans="1:17" ht="60">
      <c r="A26" s="195"/>
      <c r="B26" s="208"/>
      <c r="C26" s="214"/>
      <c r="D26" s="202"/>
      <c r="E26" s="202"/>
      <c r="F26" s="218">
        <f>F22+F24</f>
        <v>136.33547140117926</v>
      </c>
      <c r="K26" s="195">
        <v>3</v>
      </c>
      <c r="L26" s="208" t="s">
        <v>1109</v>
      </c>
      <c r="M26" s="214"/>
      <c r="N26" s="202"/>
      <c r="O26" s="215">
        <v>1.5</v>
      </c>
      <c r="P26" s="205">
        <f>P23*O26</f>
        <v>36.901869917586588</v>
      </c>
    </row>
    <row r="27" spans="1:17" ht="30">
      <c r="A27" s="195">
        <v>7</v>
      </c>
      <c r="B27" s="208" t="s">
        <v>83</v>
      </c>
      <c r="C27" s="214"/>
      <c r="D27" s="202"/>
      <c r="E27" s="215">
        <v>0.4</v>
      </c>
      <c r="F27" s="218">
        <f>F25*E27</f>
        <v>55.531186695760894</v>
      </c>
      <c r="K27" s="195">
        <v>4</v>
      </c>
      <c r="L27" s="208" t="s">
        <v>1107</v>
      </c>
      <c r="M27" s="214"/>
      <c r="N27" s="202"/>
      <c r="O27" s="216"/>
      <c r="P27" s="198">
        <f>P22+P23+P24+P25+P26</f>
        <v>249.33651627014405</v>
      </c>
    </row>
    <row r="28" spans="1:17" ht="30">
      <c r="A28" s="195"/>
      <c r="B28" s="208"/>
      <c r="C28" s="214"/>
      <c r="D28" s="202"/>
      <c r="E28" s="215">
        <v>7.0000000000000007E-2</v>
      </c>
      <c r="F28" s="218">
        <f>F26*E28</f>
        <v>9.5434829980825491</v>
      </c>
      <c r="K28" s="195">
        <v>5</v>
      </c>
      <c r="L28" s="208" t="s">
        <v>1105</v>
      </c>
      <c r="M28" s="214"/>
      <c r="N28" s="202"/>
      <c r="O28" s="217">
        <v>1</v>
      </c>
      <c r="P28" s="218">
        <f>P23*O28</f>
        <v>24.601246611724392</v>
      </c>
    </row>
    <row r="29" spans="1:17">
      <c r="A29" s="195">
        <v>8</v>
      </c>
      <c r="B29" s="219" t="s">
        <v>1100</v>
      </c>
      <c r="C29" s="214"/>
      <c r="D29" s="202"/>
      <c r="E29" s="215"/>
      <c r="F29" s="218">
        <v>5</v>
      </c>
      <c r="H29" s="220"/>
      <c r="I29" s="221"/>
      <c r="J29" s="222"/>
      <c r="K29" s="195"/>
      <c r="L29" s="208"/>
      <c r="M29" s="214"/>
      <c r="N29" s="202"/>
      <c r="O29" s="217">
        <v>0.8</v>
      </c>
      <c r="P29" s="218">
        <f>P23*O29</f>
        <v>19.680997289379516</v>
      </c>
    </row>
    <row r="30" spans="1:17" ht="30">
      <c r="A30" s="195">
        <v>9</v>
      </c>
      <c r="B30" s="219" t="s">
        <v>1099</v>
      </c>
      <c r="C30" s="214"/>
      <c r="D30" s="202"/>
      <c r="E30" s="216"/>
      <c r="F30" s="218">
        <f>F25+F27+F29</f>
        <v>199.35915343516314</v>
      </c>
      <c r="H30" s="220" t="s">
        <v>1289</v>
      </c>
      <c r="I30" s="221" t="s">
        <v>1290</v>
      </c>
      <c r="J30" s="222">
        <v>1.2E-2</v>
      </c>
      <c r="K30" s="195">
        <v>6</v>
      </c>
      <c r="L30" s="208" t="s">
        <v>1288</v>
      </c>
      <c r="M30" s="214"/>
      <c r="N30" s="202"/>
      <c r="O30" s="202"/>
      <c r="P30" s="218">
        <f>P27+P28</f>
        <v>273.93776288186842</v>
      </c>
    </row>
    <row r="31" spans="1:17">
      <c r="A31" s="195"/>
      <c r="B31" s="219"/>
      <c r="C31" s="214"/>
      <c r="D31" s="202"/>
      <c r="E31" s="216"/>
      <c r="F31" s="218">
        <f>F26+F28+F29</f>
        <v>150.8789543992618</v>
      </c>
      <c r="K31" s="195"/>
      <c r="L31" s="208"/>
      <c r="M31" s="214"/>
      <c r="N31" s="202"/>
      <c r="O31" s="202"/>
      <c r="P31" s="218">
        <f>P27+P29</f>
        <v>269.01751355952354</v>
      </c>
    </row>
    <row r="32" spans="1:17">
      <c r="A32" s="195">
        <v>10</v>
      </c>
      <c r="B32" s="219" t="s">
        <v>1098</v>
      </c>
      <c r="C32" s="214"/>
      <c r="D32" s="202"/>
      <c r="E32" s="217">
        <v>0.22</v>
      </c>
      <c r="F32" s="218">
        <f>F30*E32</f>
        <v>43.859013755735887</v>
      </c>
      <c r="K32" s="195">
        <v>7</v>
      </c>
      <c r="L32" s="208" t="s">
        <v>83</v>
      </c>
      <c r="M32" s="214"/>
      <c r="N32" s="202"/>
      <c r="O32" s="215">
        <v>0.4</v>
      </c>
      <c r="P32" s="218">
        <f>P30*O32</f>
        <v>109.57510515274737</v>
      </c>
    </row>
    <row r="33" spans="1:20">
      <c r="A33" s="195"/>
      <c r="B33" s="219"/>
      <c r="C33" s="214"/>
      <c r="D33" s="202"/>
      <c r="E33" s="217">
        <v>0.22</v>
      </c>
      <c r="F33" s="218">
        <f>F31*E33</f>
        <v>33.193369967837597</v>
      </c>
      <c r="K33" s="195"/>
      <c r="L33" s="208"/>
      <c r="M33" s="214"/>
      <c r="N33" s="202"/>
      <c r="O33" s="215">
        <v>7.0000000000000007E-2</v>
      </c>
      <c r="P33" s="218">
        <f>P31*O33</f>
        <v>18.831225949166651</v>
      </c>
    </row>
    <row r="34" spans="1:20" ht="28">
      <c r="A34" s="195">
        <v>11</v>
      </c>
      <c r="B34" s="209" t="s">
        <v>1291</v>
      </c>
      <c r="C34" s="214"/>
      <c r="D34" s="214"/>
      <c r="E34" s="214" t="s">
        <v>1096</v>
      </c>
      <c r="F34" s="212">
        <f>F30+F32</f>
        <v>243.21816719089901</v>
      </c>
      <c r="K34" s="195">
        <v>8</v>
      </c>
      <c r="L34" s="219" t="s">
        <v>1100</v>
      </c>
      <c r="M34" s="214"/>
      <c r="N34" s="202"/>
      <c r="O34" s="215"/>
      <c r="P34" s="218">
        <v>9.1</v>
      </c>
      <c r="R34" t="s">
        <v>1297</v>
      </c>
      <c r="S34" t="s">
        <v>1140</v>
      </c>
      <c r="T34" s="230">
        <v>0.33333333333333331</v>
      </c>
    </row>
    <row r="35" spans="1:20">
      <c r="A35" s="223"/>
      <c r="B35" s="223"/>
      <c r="C35" s="223"/>
      <c r="D35" s="223"/>
      <c r="E35" s="223" t="s">
        <v>1095</v>
      </c>
      <c r="F35" s="224">
        <f>F31+F33</f>
        <v>184.07232436709938</v>
      </c>
      <c r="K35" s="195">
        <v>9</v>
      </c>
      <c r="L35" s="219" t="s">
        <v>1099</v>
      </c>
      <c r="M35" s="214"/>
      <c r="N35" s="202"/>
      <c r="O35" s="216"/>
      <c r="P35" s="218">
        <f>P30+P32+P34</f>
        <v>392.61286803461581</v>
      </c>
      <c r="R35" t="s">
        <v>1298</v>
      </c>
      <c r="S35" t="s">
        <v>1120</v>
      </c>
      <c r="T35" s="230">
        <v>2.0828125000000003E-2</v>
      </c>
    </row>
    <row r="36" spans="1:20">
      <c r="A36" s="188"/>
      <c r="B36" s="188"/>
      <c r="C36" s="188"/>
      <c r="D36" s="188"/>
      <c r="E36" s="188"/>
      <c r="F36" s="225"/>
      <c r="K36" s="195"/>
      <c r="L36" s="219"/>
      <c r="M36" s="214"/>
      <c r="N36" s="202"/>
      <c r="O36" s="216"/>
      <c r="P36" s="218">
        <f>P31+P33+P34</f>
        <v>296.94873950869021</v>
      </c>
    </row>
    <row r="37" spans="1:20">
      <c r="A37" s="188"/>
      <c r="B37" s="188"/>
      <c r="C37" s="188"/>
      <c r="D37" s="188"/>
      <c r="E37" s="188"/>
      <c r="F37" s="225"/>
      <c r="K37" s="195">
        <v>10</v>
      </c>
      <c r="L37" s="219" t="s">
        <v>1098</v>
      </c>
      <c r="M37" s="214"/>
      <c r="N37" s="202"/>
      <c r="O37" s="217">
        <v>0.22</v>
      </c>
      <c r="P37" s="218">
        <f>P35*O37</f>
        <v>86.37483096761548</v>
      </c>
    </row>
    <row r="38" spans="1:20">
      <c r="A38" s="188"/>
      <c r="B38" s="188"/>
      <c r="C38" s="188"/>
      <c r="D38" s="188"/>
      <c r="E38" s="188"/>
      <c r="F38" s="225"/>
      <c r="K38" s="195"/>
      <c r="L38" s="219"/>
      <c r="M38" s="214"/>
      <c r="N38" s="202"/>
      <c r="O38" s="217">
        <v>0.22</v>
      </c>
      <c r="P38" s="218">
        <f>P36*O38</f>
        <v>65.32872269191185</v>
      </c>
    </row>
    <row r="39" spans="1:20">
      <c r="A39" s="188"/>
      <c r="B39" s="189" t="s">
        <v>1292</v>
      </c>
      <c r="C39" s="188"/>
      <c r="D39" s="188"/>
      <c r="E39" s="188"/>
      <c r="F39" s="225"/>
      <c r="K39" s="195">
        <v>11</v>
      </c>
      <c r="L39" s="209" t="s">
        <v>1291</v>
      </c>
      <c r="M39" s="214"/>
      <c r="N39" s="214"/>
      <c r="O39" s="214" t="s">
        <v>1096</v>
      </c>
      <c r="P39" s="212">
        <f>P35+P37</f>
        <v>478.9876990022313</v>
      </c>
    </row>
    <row r="40" spans="1:20">
      <c r="K40" s="223"/>
      <c r="L40" s="223"/>
      <c r="M40" s="223"/>
      <c r="N40" s="223"/>
      <c r="O40" s="223" t="s">
        <v>1095</v>
      </c>
      <c r="P40" s="224">
        <f>P36+P38</f>
        <v>362.27746220060203</v>
      </c>
    </row>
    <row r="41" spans="1:20">
      <c r="K41" s="188"/>
      <c r="L41" s="188"/>
      <c r="M41" s="188"/>
      <c r="N41" s="188"/>
      <c r="O41" s="188"/>
      <c r="P41" s="225"/>
    </row>
    <row r="42" spans="1:20">
      <c r="K42" s="188"/>
      <c r="L42" s="188"/>
      <c r="M42" s="188"/>
      <c r="N42" s="188"/>
      <c r="O42" s="188"/>
      <c r="P42" s="225"/>
      <c r="R42" s="20" t="s">
        <v>1303</v>
      </c>
      <c r="S42">
        <f>F35*4+P40*4+17*4</f>
        <v>2253.3991462708054</v>
      </c>
    </row>
    <row r="43" spans="1:20">
      <c r="R43" s="20" t="s">
        <v>1305</v>
      </c>
      <c r="S43">
        <f>F35*4+P40*6+17*4</f>
        <v>2977.9540706720099</v>
      </c>
    </row>
  </sheetData>
  <mergeCells count="2">
    <mergeCell ref="A10:A17"/>
    <mergeCell ref="K12:K22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V39"/>
  <sheetViews>
    <sheetView topLeftCell="A23" workbookViewId="0">
      <selection activeCell="U36" sqref="U36"/>
    </sheetView>
  </sheetViews>
  <sheetFormatPr baseColWidth="10" defaultColWidth="11" defaultRowHeight="16"/>
  <cols>
    <col min="1" max="1" width="3.1640625" bestFit="1" customWidth="1"/>
    <col min="2" max="2" width="37.33203125" bestFit="1" customWidth="1"/>
    <col min="3" max="3" width="8.33203125" bestFit="1" customWidth="1"/>
    <col min="4" max="4" width="7.1640625" bestFit="1" customWidth="1"/>
    <col min="5" max="5" width="10.1640625" bestFit="1" customWidth="1"/>
    <col min="6" max="6" width="25.5" bestFit="1" customWidth="1"/>
    <col min="7" max="7" width="7.1640625" bestFit="1" customWidth="1"/>
    <col min="8" max="8" width="22.5" bestFit="1" customWidth="1"/>
    <col min="9" max="9" width="3.1640625" bestFit="1" customWidth="1"/>
    <col min="10" max="10" width="6.1640625" bestFit="1" customWidth="1"/>
    <col min="12" max="13" width="3.1640625" bestFit="1" customWidth="1"/>
    <col min="14" max="14" width="17.1640625" bestFit="1" customWidth="1"/>
    <col min="15" max="15" width="5" bestFit="1" customWidth="1"/>
    <col min="16" max="16" width="7.1640625" bestFit="1" customWidth="1"/>
    <col min="17" max="17" width="10.1640625" bestFit="1" customWidth="1"/>
    <col min="18" max="18" width="6.6640625" bestFit="1" customWidth="1"/>
    <col min="19" max="19" width="11.6640625" bestFit="1" customWidth="1"/>
    <col min="20" max="20" width="32.5" bestFit="1" customWidth="1"/>
    <col min="21" max="21" width="5.1640625" bestFit="1" customWidth="1"/>
    <col min="22" max="22" width="5.6640625" bestFit="1" customWidth="1"/>
  </cols>
  <sheetData>
    <row r="1" spans="1:20">
      <c r="A1" s="188"/>
      <c r="B1" s="188"/>
      <c r="C1" s="188"/>
      <c r="D1" s="188"/>
      <c r="E1" s="189"/>
      <c r="F1" s="190" t="s">
        <v>1161</v>
      </c>
    </row>
    <row r="2" spans="1:20">
      <c r="A2" s="188"/>
      <c r="B2" s="188"/>
      <c r="C2" s="188"/>
      <c r="D2" s="188"/>
      <c r="E2" s="189"/>
      <c r="F2" s="190" t="s">
        <v>1272</v>
      </c>
    </row>
    <row r="3" spans="1:20">
      <c r="A3" s="188"/>
      <c r="B3" s="188"/>
      <c r="C3" s="188"/>
      <c r="D3" s="188"/>
      <c r="E3" s="189"/>
      <c r="F3" s="190" t="s">
        <v>1159</v>
      </c>
    </row>
    <row r="4" spans="1:20">
      <c r="A4" s="188"/>
      <c r="B4" s="188"/>
      <c r="C4" s="188"/>
      <c r="D4" s="188"/>
      <c r="E4" s="189"/>
      <c r="F4" s="190" t="s">
        <v>1273</v>
      </c>
    </row>
    <row r="5" spans="1:20">
      <c r="A5" s="189"/>
      <c r="B5" s="191" t="s">
        <v>1157</v>
      </c>
      <c r="C5" s="189"/>
      <c r="D5" s="189"/>
      <c r="E5" s="189"/>
      <c r="F5" s="192" t="s">
        <v>1156</v>
      </c>
      <c r="M5" s="189"/>
      <c r="N5" s="191" t="s">
        <v>1157</v>
      </c>
      <c r="O5" s="189"/>
      <c r="P5" s="189"/>
      <c r="Q5" s="189"/>
      <c r="R5" s="192" t="s">
        <v>1156</v>
      </c>
    </row>
    <row r="6" spans="1:20">
      <c r="A6" s="189"/>
      <c r="B6" s="193" t="s">
        <v>1274</v>
      </c>
      <c r="C6" s="189"/>
      <c r="D6" s="189"/>
      <c r="E6" s="189"/>
      <c r="F6" s="194"/>
      <c r="M6" s="189"/>
      <c r="N6" s="226" t="s">
        <v>1308</v>
      </c>
      <c r="O6" s="189"/>
      <c r="P6" s="189"/>
      <c r="Q6" s="189"/>
      <c r="R6" s="194"/>
    </row>
    <row r="7" spans="1:20">
      <c r="A7" s="189"/>
      <c r="B7" s="191"/>
      <c r="C7" s="189"/>
      <c r="D7" s="189"/>
      <c r="E7" s="189"/>
      <c r="F7" s="194"/>
      <c r="M7" s="189"/>
      <c r="N7" s="191"/>
      <c r="O7" s="189"/>
      <c r="P7" s="189"/>
      <c r="Q7" s="189"/>
      <c r="R7" s="194"/>
    </row>
    <row r="8" spans="1:20" ht="60" customHeight="1">
      <c r="A8" s="195" t="s">
        <v>1154</v>
      </c>
      <c r="B8" s="196" t="s">
        <v>1153</v>
      </c>
      <c r="C8" s="197" t="s">
        <v>1275</v>
      </c>
      <c r="D8" s="197" t="s">
        <v>1276</v>
      </c>
      <c r="E8" s="197" t="s">
        <v>1277</v>
      </c>
      <c r="F8" s="198" t="s">
        <v>1278</v>
      </c>
      <c r="G8" s="199" t="s">
        <v>1279</v>
      </c>
      <c r="H8" s="200"/>
      <c r="L8" s="231"/>
      <c r="M8" s="195" t="s">
        <v>1154</v>
      </c>
      <c r="N8" s="196" t="s">
        <v>1153</v>
      </c>
      <c r="O8" s="197" t="s">
        <v>1275</v>
      </c>
      <c r="P8" s="197" t="s">
        <v>1276</v>
      </c>
      <c r="Q8" s="197" t="s">
        <v>1277</v>
      </c>
      <c r="R8" s="198" t="s">
        <v>1278</v>
      </c>
      <c r="S8" s="199" t="s">
        <v>1279</v>
      </c>
      <c r="T8" s="227"/>
    </row>
    <row r="9" spans="1:20">
      <c r="A9" s="201"/>
      <c r="B9" s="1" t="s">
        <v>1280</v>
      </c>
      <c r="C9" s="202" t="s">
        <v>1120</v>
      </c>
      <c r="D9" s="203">
        <v>1.0669999999999999</v>
      </c>
      <c r="E9" s="204">
        <v>56.56</v>
      </c>
      <c r="F9" s="205">
        <f t="shared" ref="F9:F11" si="0">D9*E9</f>
        <v>60.349519999999998</v>
      </c>
      <c r="G9" s="199"/>
      <c r="H9" s="200"/>
      <c r="L9" s="357"/>
      <c r="M9" s="355">
        <v>1</v>
      </c>
      <c r="N9" s="220" t="s">
        <v>1306</v>
      </c>
      <c r="O9" s="202" t="s">
        <v>1120</v>
      </c>
      <c r="P9" s="203">
        <v>1.9373800000000001</v>
      </c>
      <c r="Q9" s="204">
        <v>51.64</v>
      </c>
      <c r="R9" s="205">
        <f>P9*Q9</f>
        <v>100.04630320000001</v>
      </c>
      <c r="S9" s="228"/>
    </row>
    <row r="10" spans="1:20">
      <c r="A10" s="351"/>
      <c r="B10" s="1" t="s">
        <v>1281</v>
      </c>
      <c r="C10" s="202" t="s">
        <v>1120</v>
      </c>
      <c r="D10" s="203">
        <v>0.12421965599999998</v>
      </c>
      <c r="E10" s="204">
        <v>70.489999999999995</v>
      </c>
      <c r="F10" s="205">
        <f t="shared" si="0"/>
        <v>8.756243551439999</v>
      </c>
      <c r="G10" s="206"/>
      <c r="L10" s="357"/>
      <c r="M10" s="351"/>
      <c r="N10" s="220" t="s">
        <v>1295</v>
      </c>
      <c r="O10" s="202" t="s">
        <v>1120</v>
      </c>
      <c r="P10" s="203">
        <v>0.41024194200000003</v>
      </c>
      <c r="Q10" s="204">
        <v>61.48</v>
      </c>
      <c r="R10" s="205">
        <f t="shared" ref="R10:R16" si="1">P10*Q10</f>
        <v>25.22167459416</v>
      </c>
      <c r="S10" s="228"/>
    </row>
    <row r="11" spans="1:20">
      <c r="A11" s="351"/>
      <c r="B11" s="1" t="s">
        <v>1282</v>
      </c>
      <c r="C11" s="202" t="s">
        <v>1120</v>
      </c>
      <c r="D11" s="203">
        <v>3.9891621000000002E-2</v>
      </c>
      <c r="E11" s="204">
        <v>191.41</v>
      </c>
      <c r="F11" s="205">
        <f t="shared" si="0"/>
        <v>7.6356551756100002</v>
      </c>
      <c r="G11" s="207">
        <v>0.13300000000000001</v>
      </c>
      <c r="L11" s="357"/>
      <c r="M11" s="351"/>
      <c r="N11" s="220" t="s">
        <v>1126</v>
      </c>
      <c r="O11" s="202" t="s">
        <v>1120</v>
      </c>
      <c r="P11" s="203">
        <v>0.45137500000000003</v>
      </c>
      <c r="Q11" s="204">
        <v>50.82</v>
      </c>
      <c r="R11" s="205">
        <f t="shared" si="1"/>
        <v>22.9388775</v>
      </c>
    </row>
    <row r="12" spans="1:20">
      <c r="A12" s="351"/>
      <c r="B12" s="1" t="s">
        <v>1283</v>
      </c>
      <c r="C12" s="202" t="s">
        <v>1177</v>
      </c>
      <c r="D12" s="203">
        <v>0.29993700000000001</v>
      </c>
      <c r="E12" s="204">
        <v>290</v>
      </c>
      <c r="F12" s="205">
        <f>D12*E12*G12/1000</f>
        <v>0.43490864999999995</v>
      </c>
      <c r="G12" s="207">
        <v>5</v>
      </c>
      <c r="L12" s="357"/>
      <c r="M12" s="351"/>
      <c r="N12" s="220" t="s">
        <v>1282</v>
      </c>
      <c r="O12" s="202" t="s">
        <v>1120</v>
      </c>
      <c r="P12" s="203">
        <v>0.20680648800000001</v>
      </c>
      <c r="Q12" s="204">
        <v>191.41</v>
      </c>
      <c r="R12" s="205">
        <f>P12*Q12</f>
        <v>39.58482986808</v>
      </c>
      <c r="S12" s="206">
        <v>0.13300000000000001</v>
      </c>
    </row>
    <row r="13" spans="1:20">
      <c r="A13" s="351"/>
      <c r="B13" s="1" t="s">
        <v>1149</v>
      </c>
      <c r="C13" s="202" t="s">
        <v>1284</v>
      </c>
      <c r="D13" s="202">
        <v>8</v>
      </c>
      <c r="E13" s="204">
        <v>0.91</v>
      </c>
      <c r="F13" s="205">
        <f t="shared" ref="F13:F14" si="2">D13*E13</f>
        <v>7.28</v>
      </c>
      <c r="G13" s="207"/>
      <c r="L13" s="357"/>
      <c r="M13" s="351"/>
      <c r="N13" s="220" t="s">
        <v>1283</v>
      </c>
      <c r="O13" s="202" t="s">
        <v>1177</v>
      </c>
      <c r="P13" s="203">
        <v>1.5549360000000001</v>
      </c>
      <c r="Q13" s="204">
        <v>290</v>
      </c>
      <c r="R13" s="205">
        <f>P13*Q13*S13/1000</f>
        <v>2.2546572</v>
      </c>
      <c r="S13" s="206">
        <v>5</v>
      </c>
    </row>
    <row r="14" spans="1:20">
      <c r="A14" s="351"/>
      <c r="B14" s="1" t="s">
        <v>1146</v>
      </c>
      <c r="C14" s="202" t="s">
        <v>1284</v>
      </c>
      <c r="D14" s="202">
        <v>8</v>
      </c>
      <c r="E14" s="204">
        <v>0.46</v>
      </c>
      <c r="F14" s="205">
        <f t="shared" si="2"/>
        <v>3.68</v>
      </c>
      <c r="G14" s="207"/>
      <c r="L14" s="357"/>
      <c r="M14" s="351"/>
      <c r="N14" s="229" t="s">
        <v>1149</v>
      </c>
      <c r="O14" s="202" t="s">
        <v>1120</v>
      </c>
      <c r="P14" s="203">
        <v>4.0960000000000003E-2</v>
      </c>
      <c r="Q14" s="204">
        <v>180</v>
      </c>
      <c r="R14" s="205">
        <f t="shared" si="1"/>
        <v>7.3728000000000007</v>
      </c>
      <c r="S14" s="228"/>
    </row>
    <row r="15" spans="1:20">
      <c r="A15" s="351"/>
      <c r="B15" s="208" t="s">
        <v>1118</v>
      </c>
      <c r="C15" s="209"/>
      <c r="D15" s="210"/>
      <c r="E15" s="211"/>
      <c r="F15" s="212">
        <f>SUM(F9:F14)</f>
        <v>88.136327377049994</v>
      </c>
      <c r="L15" s="357"/>
      <c r="M15" s="351"/>
      <c r="N15" s="229" t="s">
        <v>1146</v>
      </c>
      <c r="O15" s="202" t="s">
        <v>1120</v>
      </c>
      <c r="P15" s="203">
        <v>0.02</v>
      </c>
      <c r="Q15" s="204">
        <v>179</v>
      </c>
      <c r="R15" s="205">
        <f t="shared" si="1"/>
        <v>3.58</v>
      </c>
      <c r="S15" s="228"/>
    </row>
    <row r="16" spans="1:20">
      <c r="A16" s="351"/>
      <c r="B16" s="213" t="s">
        <v>1285</v>
      </c>
      <c r="C16" s="214"/>
      <c r="D16" s="202"/>
      <c r="E16" s="215">
        <v>0.01</v>
      </c>
      <c r="F16" s="205">
        <f>F15*E16</f>
        <v>0.88136327377049994</v>
      </c>
      <c r="L16" s="357"/>
      <c r="M16" s="351"/>
      <c r="N16" s="229" t="s">
        <v>1296</v>
      </c>
      <c r="O16" s="202" t="s">
        <v>1140</v>
      </c>
      <c r="P16" s="202">
        <v>2</v>
      </c>
      <c r="Q16" s="204">
        <v>0.25</v>
      </c>
      <c r="R16" s="205">
        <f t="shared" si="1"/>
        <v>0.5</v>
      </c>
      <c r="S16" s="228"/>
    </row>
    <row r="17" spans="1:22" ht="45">
      <c r="A17" s="352"/>
      <c r="B17" s="208" t="s">
        <v>1286</v>
      </c>
      <c r="C17" s="214"/>
      <c r="D17" s="202"/>
      <c r="E17" s="202"/>
      <c r="F17" s="212">
        <f>SUM(F15:F16)</f>
        <v>89.017690650820498</v>
      </c>
      <c r="L17" s="357"/>
      <c r="M17" s="351"/>
      <c r="N17" s="208" t="s">
        <v>1118</v>
      </c>
      <c r="O17" s="209"/>
      <c r="P17" s="210"/>
      <c r="Q17" s="211"/>
      <c r="R17" s="212">
        <f>SUM(R9:R16)</f>
        <v>201.49914236224001</v>
      </c>
    </row>
    <row r="18" spans="1:22" ht="30">
      <c r="A18" s="195">
        <v>2</v>
      </c>
      <c r="B18" s="208" t="s">
        <v>1114</v>
      </c>
      <c r="C18" s="214"/>
      <c r="D18" s="202"/>
      <c r="E18" s="215">
        <v>0.14000000000000001</v>
      </c>
      <c r="F18" s="205">
        <f>F17*E18</f>
        <v>12.462476691114871</v>
      </c>
      <c r="L18" s="357"/>
      <c r="M18" s="351"/>
      <c r="N18" s="213" t="s">
        <v>1285</v>
      </c>
      <c r="O18" s="214"/>
      <c r="P18" s="202"/>
      <c r="Q18" s="215">
        <v>0.01</v>
      </c>
      <c r="R18" s="205">
        <f>R17*Q18</f>
        <v>2.0149914236224</v>
      </c>
    </row>
    <row r="19" spans="1:22">
      <c r="A19" s="195"/>
      <c r="B19" s="213" t="s">
        <v>1113</v>
      </c>
      <c r="C19" s="214"/>
      <c r="D19" s="202"/>
      <c r="E19" s="215">
        <v>0.14000000000000001</v>
      </c>
      <c r="F19" s="205">
        <f>F18*E19</f>
        <v>1.7447467367560821</v>
      </c>
      <c r="L19" s="357"/>
      <c r="M19" s="352"/>
      <c r="N19" s="208" t="s">
        <v>1286</v>
      </c>
      <c r="O19" s="214"/>
      <c r="P19" s="202"/>
      <c r="Q19" s="202"/>
      <c r="R19" s="212">
        <f>SUM(R17:R18)</f>
        <v>203.51413378586241</v>
      </c>
    </row>
    <row r="20" spans="1:22" ht="45">
      <c r="A20" s="195"/>
      <c r="B20" s="213" t="s">
        <v>1287</v>
      </c>
      <c r="C20" s="214"/>
      <c r="D20" s="202"/>
      <c r="E20" s="215"/>
      <c r="F20" s="205">
        <f>(F18+F19)*31.3%</f>
        <v>4.4468609329236086</v>
      </c>
      <c r="L20" s="231"/>
      <c r="M20" s="195">
        <v>2</v>
      </c>
      <c r="N20" s="208" t="s">
        <v>1114</v>
      </c>
      <c r="O20" s="214"/>
      <c r="P20" s="202"/>
      <c r="Q20" s="215">
        <v>0.14000000000000001</v>
      </c>
      <c r="R20" s="205">
        <f>R19*Q20</f>
        <v>28.49197873002074</v>
      </c>
    </row>
    <row r="21" spans="1:22" ht="30">
      <c r="A21" s="195">
        <v>3</v>
      </c>
      <c r="B21" s="208" t="s">
        <v>1109</v>
      </c>
      <c r="C21" s="214"/>
      <c r="D21" s="202"/>
      <c r="E21" s="215">
        <v>1.5</v>
      </c>
      <c r="F21" s="205">
        <f>F18*E21</f>
        <v>18.693715036672305</v>
      </c>
      <c r="L21" s="231"/>
      <c r="M21" s="195"/>
      <c r="N21" s="213" t="s">
        <v>1113</v>
      </c>
      <c r="O21" s="214"/>
      <c r="P21" s="202"/>
      <c r="Q21" s="215">
        <v>0.14000000000000001</v>
      </c>
      <c r="R21" s="205">
        <f>R20*Q21</f>
        <v>3.988877022202904</v>
      </c>
    </row>
    <row r="22" spans="1:22" ht="45">
      <c r="A22" s="195">
        <v>4</v>
      </c>
      <c r="B22" s="208" t="s">
        <v>1107</v>
      </c>
      <c r="C22" s="214"/>
      <c r="D22" s="202"/>
      <c r="E22" s="216"/>
      <c r="F22" s="198">
        <f>F17+F18+F19+F20+F21</f>
        <v>126.36549004828737</v>
      </c>
      <c r="L22" s="231"/>
      <c r="M22" s="195"/>
      <c r="N22" s="213" t="s">
        <v>1287</v>
      </c>
      <c r="O22" s="214"/>
      <c r="P22" s="202"/>
      <c r="Q22" s="215"/>
      <c r="R22" s="205">
        <f>(R20+R21)*30.9%</f>
        <v>10.036584427437107</v>
      </c>
    </row>
    <row r="23" spans="1:22" ht="60">
      <c r="A23" s="195">
        <v>5</v>
      </c>
      <c r="B23" s="208" t="s">
        <v>1105</v>
      </c>
      <c r="C23" s="214"/>
      <c r="D23" s="202"/>
      <c r="E23" s="217">
        <v>1</v>
      </c>
      <c r="F23" s="218">
        <f>F18*E23</f>
        <v>12.462476691114871</v>
      </c>
      <c r="L23" s="231"/>
      <c r="M23" s="195">
        <v>3</v>
      </c>
      <c r="N23" s="208" t="s">
        <v>1109</v>
      </c>
      <c r="O23" s="214"/>
      <c r="P23" s="202"/>
      <c r="Q23" s="215">
        <v>1.5</v>
      </c>
      <c r="R23" s="205">
        <f>R20*Q23</f>
        <v>42.737968095031107</v>
      </c>
    </row>
    <row r="24" spans="1:22" ht="30">
      <c r="A24" s="195"/>
      <c r="B24" s="208"/>
      <c r="C24" s="214"/>
      <c r="D24" s="202"/>
      <c r="E24" s="217">
        <v>0.8</v>
      </c>
      <c r="F24" s="218">
        <f>F18*E24</f>
        <v>9.9699813528918977</v>
      </c>
      <c r="L24" s="231"/>
      <c r="M24" s="195">
        <v>4</v>
      </c>
      <c r="N24" s="208" t="s">
        <v>1107</v>
      </c>
      <c r="O24" s="214"/>
      <c r="P24" s="202"/>
      <c r="Q24" s="216"/>
      <c r="R24" s="198">
        <f>R19+R20+R21+R22+R23</f>
        <v>288.76954206055427</v>
      </c>
    </row>
    <row r="25" spans="1:22" ht="30">
      <c r="A25" s="195">
        <v>6</v>
      </c>
      <c r="B25" s="208" t="s">
        <v>1288</v>
      </c>
      <c r="C25" s="214"/>
      <c r="D25" s="202"/>
      <c r="E25" s="202"/>
      <c r="F25" s="218">
        <f>F22+F23</f>
        <v>138.82796673940223</v>
      </c>
      <c r="L25" s="231"/>
      <c r="M25" s="195">
        <v>5</v>
      </c>
      <c r="N25" s="208" t="s">
        <v>1105</v>
      </c>
      <c r="O25" s="214"/>
      <c r="P25" s="202"/>
      <c r="Q25" s="217">
        <v>1</v>
      </c>
      <c r="R25" s="218">
        <f>R20*Q25</f>
        <v>28.49197873002074</v>
      </c>
    </row>
    <row r="26" spans="1:22">
      <c r="A26" s="195"/>
      <c r="B26" s="208"/>
      <c r="C26" s="214"/>
      <c r="D26" s="202"/>
      <c r="E26" s="202"/>
      <c r="F26" s="218">
        <f>F22+F24</f>
        <v>136.33547140117926</v>
      </c>
      <c r="L26" s="231"/>
      <c r="M26" s="195"/>
      <c r="N26" s="208"/>
      <c r="O26" s="214"/>
      <c r="P26" s="202"/>
      <c r="Q26" s="217">
        <v>0.8</v>
      </c>
      <c r="R26" s="218">
        <f>R20*Q26</f>
        <v>22.793582984016595</v>
      </c>
    </row>
    <row r="27" spans="1:22" ht="30">
      <c r="A27" s="195">
        <v>7</v>
      </c>
      <c r="B27" s="208" t="s">
        <v>83</v>
      </c>
      <c r="C27" s="214"/>
      <c r="D27" s="202"/>
      <c r="E27" s="215">
        <v>0.4</v>
      </c>
      <c r="F27" s="218">
        <f>F25*E27</f>
        <v>55.531186695760894</v>
      </c>
      <c r="L27" s="231"/>
      <c r="M27" s="195">
        <v>6</v>
      </c>
      <c r="N27" s="208" t="s">
        <v>1288</v>
      </c>
      <c r="O27" s="214"/>
      <c r="P27" s="202"/>
      <c r="Q27" s="202"/>
      <c r="R27" s="218">
        <f>R24+R25</f>
        <v>317.26152079057499</v>
      </c>
    </row>
    <row r="28" spans="1:22">
      <c r="A28" s="195"/>
      <c r="B28" s="208"/>
      <c r="C28" s="214"/>
      <c r="D28" s="202"/>
      <c r="E28" s="215">
        <v>7.0000000000000007E-2</v>
      </c>
      <c r="F28" s="218">
        <f>F26*E28</f>
        <v>9.5434829980825491</v>
      </c>
      <c r="L28" s="231"/>
      <c r="M28" s="195"/>
      <c r="N28" s="208"/>
      <c r="O28" s="214"/>
      <c r="P28" s="202"/>
      <c r="Q28" s="202"/>
      <c r="R28" s="218">
        <f>R24+R26</f>
        <v>311.56312504457088</v>
      </c>
    </row>
    <row r="29" spans="1:22">
      <c r="A29" s="195">
        <v>8</v>
      </c>
      <c r="B29" s="219" t="s">
        <v>1100</v>
      </c>
      <c r="C29" s="214"/>
      <c r="D29" s="202"/>
      <c r="E29" s="215"/>
      <c r="F29" s="218">
        <v>5</v>
      </c>
      <c r="H29" s="220"/>
      <c r="I29" s="221"/>
      <c r="J29" s="222"/>
      <c r="L29" s="231"/>
      <c r="M29" s="195">
        <v>7</v>
      </c>
      <c r="N29" s="208" t="s">
        <v>83</v>
      </c>
      <c r="O29" s="214"/>
      <c r="P29" s="202"/>
      <c r="Q29" s="215">
        <v>0.4</v>
      </c>
      <c r="R29" s="218">
        <f>R27*Q29</f>
        <v>126.90460831623</v>
      </c>
    </row>
    <row r="30" spans="1:22">
      <c r="A30" s="195">
        <v>9</v>
      </c>
      <c r="B30" s="219" t="s">
        <v>1099</v>
      </c>
      <c r="C30" s="214"/>
      <c r="D30" s="202"/>
      <c r="E30" s="216"/>
      <c r="F30" s="218">
        <f>F25+F27+F29</f>
        <v>199.35915343516314</v>
      </c>
      <c r="H30" s="220" t="s">
        <v>1289</v>
      </c>
      <c r="I30" s="221" t="s">
        <v>1290</v>
      </c>
      <c r="J30" s="222">
        <v>1.2E-2</v>
      </c>
      <c r="L30" s="231"/>
      <c r="M30" s="195"/>
      <c r="N30" s="208"/>
      <c r="O30" s="214"/>
      <c r="P30" s="202"/>
      <c r="Q30" s="215">
        <v>7.0000000000000007E-2</v>
      </c>
      <c r="R30" s="218">
        <f>R28*Q30</f>
        <v>21.809418753119964</v>
      </c>
    </row>
    <row r="31" spans="1:22" ht="28">
      <c r="A31" s="195"/>
      <c r="B31" s="219"/>
      <c r="C31" s="214"/>
      <c r="D31" s="202"/>
      <c r="E31" s="216"/>
      <c r="F31" s="218">
        <f>F26+F28+F29</f>
        <v>150.8789543992618</v>
      </c>
      <c r="L31" s="231"/>
      <c r="M31" s="195">
        <v>8</v>
      </c>
      <c r="N31" s="219" t="s">
        <v>1100</v>
      </c>
      <c r="O31" s="214"/>
      <c r="P31" s="202"/>
      <c r="Q31" s="215"/>
      <c r="R31" s="218">
        <v>10.3</v>
      </c>
      <c r="T31" t="s">
        <v>1307</v>
      </c>
      <c r="U31" t="s">
        <v>1140</v>
      </c>
      <c r="V31" s="230">
        <v>0.33333333333333331</v>
      </c>
    </row>
    <row r="32" spans="1:22">
      <c r="A32" s="195">
        <v>10</v>
      </c>
      <c r="B32" s="219" t="s">
        <v>1098</v>
      </c>
      <c r="C32" s="214"/>
      <c r="D32" s="202"/>
      <c r="E32" s="217">
        <v>0.22</v>
      </c>
      <c r="F32" s="218">
        <f>F30*E32</f>
        <v>43.859013755735887</v>
      </c>
      <c r="L32" s="231"/>
      <c r="M32" s="195">
        <v>9</v>
      </c>
      <c r="N32" s="219" t="s">
        <v>1099</v>
      </c>
      <c r="O32" s="214"/>
      <c r="P32" s="202"/>
      <c r="Q32" s="216"/>
      <c r="R32" s="218">
        <f>R27+R29+R31</f>
        <v>454.466129106805</v>
      </c>
      <c r="T32" t="s">
        <v>1298</v>
      </c>
      <c r="U32" t="s">
        <v>1120</v>
      </c>
      <c r="V32" s="230">
        <v>2.4160625000000005E-2</v>
      </c>
    </row>
    <row r="33" spans="1:21">
      <c r="A33" s="195"/>
      <c r="B33" s="219"/>
      <c r="C33" s="214"/>
      <c r="D33" s="202"/>
      <c r="E33" s="217">
        <v>0.22</v>
      </c>
      <c r="F33" s="218">
        <f>F31*E33</f>
        <v>33.193369967837597</v>
      </c>
      <c r="L33" s="231"/>
      <c r="M33" s="195"/>
      <c r="N33" s="219"/>
      <c r="O33" s="214"/>
      <c r="P33" s="202"/>
      <c r="Q33" s="216"/>
      <c r="R33" s="218">
        <f>R28+R30+R31</f>
        <v>343.67254379769088</v>
      </c>
    </row>
    <row r="34" spans="1:21">
      <c r="A34" s="195">
        <v>11</v>
      </c>
      <c r="B34" s="209" t="s">
        <v>1291</v>
      </c>
      <c r="C34" s="214"/>
      <c r="D34" s="214"/>
      <c r="E34" s="214" t="s">
        <v>1096</v>
      </c>
      <c r="F34" s="212">
        <f>F30+F32</f>
        <v>243.21816719089901</v>
      </c>
      <c r="L34" s="231"/>
      <c r="M34" s="195">
        <v>10</v>
      </c>
      <c r="N34" s="219" t="s">
        <v>1098</v>
      </c>
      <c r="O34" s="214"/>
      <c r="P34" s="202"/>
      <c r="Q34" s="217">
        <v>0.22</v>
      </c>
      <c r="R34" s="218">
        <f>R32*Q34</f>
        <v>99.982548403497105</v>
      </c>
    </row>
    <row r="35" spans="1:21">
      <c r="A35" s="223"/>
      <c r="B35" s="223"/>
      <c r="C35" s="223"/>
      <c r="D35" s="223"/>
      <c r="E35" s="223" t="s">
        <v>1095</v>
      </c>
      <c r="F35" s="224">
        <f>F31+F33</f>
        <v>184.07232436709938</v>
      </c>
      <c r="L35" s="231"/>
      <c r="M35" s="195"/>
      <c r="N35" s="219"/>
      <c r="O35" s="214"/>
      <c r="P35" s="202"/>
      <c r="Q35" s="217">
        <v>0.22</v>
      </c>
      <c r="R35" s="218">
        <f>R33*Q35</f>
        <v>75.607959635491994</v>
      </c>
    </row>
    <row r="36" spans="1:21">
      <c r="A36" s="188"/>
      <c r="B36" s="188"/>
      <c r="C36" s="188"/>
      <c r="D36" s="188"/>
      <c r="E36" s="188"/>
      <c r="F36" s="225"/>
      <c r="L36" s="231"/>
      <c r="M36" s="195">
        <v>11</v>
      </c>
      <c r="N36" s="209" t="s">
        <v>1291</v>
      </c>
      <c r="O36" s="214"/>
      <c r="P36" s="214"/>
      <c r="Q36" s="214" t="s">
        <v>1096</v>
      </c>
      <c r="R36" s="212">
        <f>R32+R34</f>
        <v>554.4486775103021</v>
      </c>
      <c r="T36" s="20" t="s">
        <v>1304</v>
      </c>
      <c r="U36">
        <f>F35*4+R37*4+17*4</f>
        <v>2481.4113112011291</v>
      </c>
    </row>
    <row r="37" spans="1:21">
      <c r="A37" s="188"/>
      <c r="B37" s="188"/>
      <c r="C37" s="188"/>
      <c r="D37" s="188"/>
      <c r="E37" s="188"/>
      <c r="F37" s="225"/>
      <c r="L37" s="188"/>
      <c r="M37" s="223"/>
      <c r="N37" s="223"/>
      <c r="O37" s="223"/>
      <c r="P37" s="223"/>
      <c r="Q37" s="223" t="s">
        <v>1095</v>
      </c>
      <c r="R37" s="224">
        <f>R33+R35</f>
        <v>419.28050343318284</v>
      </c>
    </row>
    <row r="38" spans="1:21">
      <c r="A38" s="188"/>
      <c r="B38" s="188"/>
      <c r="C38" s="188"/>
      <c r="D38" s="188"/>
      <c r="E38" s="188"/>
      <c r="F38" s="225"/>
    </row>
    <row r="39" spans="1:21">
      <c r="A39" s="188"/>
      <c r="B39" s="189" t="s">
        <v>1292</v>
      </c>
      <c r="C39" s="188"/>
      <c r="D39" s="188"/>
      <c r="E39" s="188"/>
      <c r="F39" s="225"/>
    </row>
  </sheetData>
  <mergeCells count="3">
    <mergeCell ref="A10:A17"/>
    <mergeCell ref="L9:L19"/>
    <mergeCell ref="M9:M19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  <pageSetUpPr autoPageBreaks="0"/>
  </sheetPr>
  <dimension ref="A1:H56"/>
  <sheetViews>
    <sheetView topLeftCell="A23" zoomScale="130" zoomScaleNormal="130" workbookViewId="0">
      <selection activeCell="F53" sqref="F53"/>
    </sheetView>
  </sheetViews>
  <sheetFormatPr baseColWidth="10" defaultColWidth="9" defaultRowHeight="11.5" customHeight="1"/>
  <cols>
    <col min="1" max="1" width="5.5" style="101" customWidth="1"/>
    <col min="2" max="2" width="42.1640625" style="101" customWidth="1"/>
    <col min="3" max="3" width="12.5" style="101" customWidth="1"/>
    <col min="4" max="4" width="8.5" style="101" customWidth="1"/>
    <col min="5" max="5" width="9.5" style="101" customWidth="1"/>
    <col min="6" max="6" width="14.1640625" style="101" customWidth="1"/>
    <col min="7" max="7" width="9" style="100"/>
    <col min="8" max="8" width="10.5" style="100" customWidth="1"/>
    <col min="9" max="16384" width="9" style="100"/>
  </cols>
  <sheetData>
    <row r="1" spans="1:8" ht="11" customHeight="1">
      <c r="F1" s="126" t="s">
        <v>1161</v>
      </c>
    </row>
    <row r="2" spans="1:8" ht="11" customHeight="1">
      <c r="F2" s="126" t="s">
        <v>1160</v>
      </c>
    </row>
    <row r="3" spans="1:8" ht="11" customHeight="1">
      <c r="F3" s="126" t="s">
        <v>1159</v>
      </c>
    </row>
    <row r="4" spans="1:8" ht="11" customHeight="1">
      <c r="F4" s="126" t="s">
        <v>1158</v>
      </c>
    </row>
    <row r="5" spans="1:8" ht="16" customHeight="1">
      <c r="A5" s="125" t="s">
        <v>1157</v>
      </c>
      <c r="F5" s="124" t="s">
        <v>1156</v>
      </c>
    </row>
    <row r="6" spans="1:8" ht="11" customHeight="1"/>
    <row r="7" spans="1:8" ht="13" customHeight="1">
      <c r="A7" s="358" t="s">
        <v>118</v>
      </c>
      <c r="B7" s="358"/>
      <c r="C7" s="358"/>
      <c r="D7" s="358"/>
      <c r="E7" s="358"/>
      <c r="F7" s="358"/>
    </row>
    <row r="8" spans="1:8" s="123" customFormat="1" ht="3" customHeight="1"/>
    <row r="9" spans="1:8" ht="11" customHeight="1">
      <c r="A9" s="107" t="s">
        <v>1154</v>
      </c>
      <c r="B9" s="107" t="s">
        <v>1153</v>
      </c>
      <c r="C9" s="107" t="s">
        <v>1152</v>
      </c>
      <c r="D9" s="107" t="s">
        <v>1151</v>
      </c>
      <c r="E9" s="107" t="s">
        <v>1239</v>
      </c>
      <c r="F9" s="107" t="s">
        <v>1240</v>
      </c>
      <c r="H9" s="110"/>
    </row>
    <row r="10" spans="1:8" ht="23" customHeight="1">
      <c r="A10" s="121">
        <v>1</v>
      </c>
      <c r="B10" s="120" t="s">
        <v>1241</v>
      </c>
      <c r="C10" s="119" t="s">
        <v>1191</v>
      </c>
      <c r="D10" s="107">
        <v>1.4999999999999999E-2</v>
      </c>
      <c r="E10" s="107">
        <v>616.66999999999996</v>
      </c>
      <c r="F10" s="107">
        <f t="shared" ref="F10:F31" si="0">E10*D10</f>
        <v>9.2500499999999999</v>
      </c>
      <c r="H10" s="110"/>
    </row>
    <row r="11" spans="1:8" ht="23" customHeight="1">
      <c r="A11" s="121">
        <v>2</v>
      </c>
      <c r="B11" s="120" t="s">
        <v>1242</v>
      </c>
      <c r="C11" s="119" t="s">
        <v>1191</v>
      </c>
      <c r="D11" s="107">
        <v>1E-3</v>
      </c>
      <c r="E11" s="107">
        <v>468.33</v>
      </c>
      <c r="F11" s="107">
        <f t="shared" si="0"/>
        <v>0.46832999999999997</v>
      </c>
      <c r="H11" s="110"/>
    </row>
    <row r="12" spans="1:8" ht="23" customHeight="1">
      <c r="A12" s="121">
        <v>3</v>
      </c>
      <c r="B12" s="120" t="s">
        <v>1190</v>
      </c>
      <c r="C12" s="119" t="s">
        <v>1189</v>
      </c>
      <c r="D12" s="107" t="s">
        <v>1142</v>
      </c>
      <c r="E12" s="107">
        <v>84.78</v>
      </c>
      <c r="F12" s="107">
        <f t="shared" si="0"/>
        <v>84.78</v>
      </c>
      <c r="H12" s="110"/>
    </row>
    <row r="13" spans="1:8" ht="11" customHeight="1">
      <c r="A13" s="121">
        <v>4</v>
      </c>
      <c r="B13" s="120" t="s">
        <v>1188</v>
      </c>
      <c r="C13" s="119" t="s">
        <v>1120</v>
      </c>
      <c r="D13" s="107">
        <v>3.0000000000000001E-3</v>
      </c>
      <c r="E13" s="107" t="s">
        <v>1187</v>
      </c>
      <c r="F13" s="107">
        <f t="shared" si="0"/>
        <v>0.46200000000000002</v>
      </c>
      <c r="H13" s="110"/>
    </row>
    <row r="14" spans="1:8" ht="11" customHeight="1">
      <c r="A14" s="121">
        <v>5</v>
      </c>
      <c r="B14" s="120" t="s">
        <v>1144</v>
      </c>
      <c r="C14" s="119" t="s">
        <v>1140</v>
      </c>
      <c r="D14" s="107" t="s">
        <v>1142</v>
      </c>
      <c r="E14" s="107">
        <v>1.4</v>
      </c>
      <c r="F14" s="107">
        <f t="shared" si="0"/>
        <v>1.4</v>
      </c>
      <c r="H14" s="110"/>
    </row>
    <row r="15" spans="1:8" ht="11" customHeight="1">
      <c r="A15" s="121">
        <v>6</v>
      </c>
      <c r="B15" s="120" t="s">
        <v>1186</v>
      </c>
      <c r="C15" s="119" t="s">
        <v>1140</v>
      </c>
      <c r="D15" s="107" t="s">
        <v>1142</v>
      </c>
      <c r="E15" s="107"/>
      <c r="F15" s="107">
        <f t="shared" si="0"/>
        <v>0</v>
      </c>
      <c r="H15" s="110"/>
    </row>
    <row r="16" spans="1:8" ht="11" customHeight="1">
      <c r="A16" s="121">
        <v>7</v>
      </c>
      <c r="B16" s="120" t="s">
        <v>1185</v>
      </c>
      <c r="C16" s="119" t="s">
        <v>1140</v>
      </c>
      <c r="D16" s="107" t="s">
        <v>1108</v>
      </c>
      <c r="E16" s="107">
        <v>0.92</v>
      </c>
      <c r="F16" s="107">
        <f t="shared" si="0"/>
        <v>3.68</v>
      </c>
    </row>
    <row r="17" spans="1:8" ht="11" customHeight="1">
      <c r="A17" s="121">
        <v>8</v>
      </c>
      <c r="B17" s="120" t="s">
        <v>1251</v>
      </c>
      <c r="C17" s="119" t="s">
        <v>1140</v>
      </c>
      <c r="D17" s="107" t="s">
        <v>1108</v>
      </c>
      <c r="E17" s="107">
        <v>0.24</v>
      </c>
      <c r="F17" s="107">
        <f t="shared" si="0"/>
        <v>0.96</v>
      </c>
    </row>
    <row r="18" spans="1:8" ht="11" customHeight="1">
      <c r="A18" s="121">
        <v>9</v>
      </c>
      <c r="B18" s="120" t="s">
        <v>1184</v>
      </c>
      <c r="C18" s="119" t="s">
        <v>1140</v>
      </c>
      <c r="D18" s="107" t="s">
        <v>1142</v>
      </c>
      <c r="E18" s="107"/>
      <c r="F18" s="107">
        <f t="shared" si="0"/>
        <v>0</v>
      </c>
    </row>
    <row r="19" spans="1:8" ht="11" customHeight="1">
      <c r="A19" s="121">
        <v>10</v>
      </c>
      <c r="B19" s="120" t="s">
        <v>1183</v>
      </c>
      <c r="C19" s="119" t="s">
        <v>1120</v>
      </c>
      <c r="D19" s="107">
        <v>1.4E-2</v>
      </c>
      <c r="E19" s="107">
        <v>133.33000000000001</v>
      </c>
      <c r="F19" s="107">
        <f t="shared" si="0"/>
        <v>1.8666200000000002</v>
      </c>
      <c r="H19" s="110"/>
    </row>
    <row r="20" spans="1:8" ht="11" customHeight="1">
      <c r="A20" s="121">
        <v>11</v>
      </c>
      <c r="B20" s="120" t="s">
        <v>1182</v>
      </c>
      <c r="C20" s="119" t="s">
        <v>1181</v>
      </c>
      <c r="D20" s="107" t="s">
        <v>1142</v>
      </c>
      <c r="E20" s="107">
        <v>537.5</v>
      </c>
      <c r="F20" s="107">
        <f t="shared" si="0"/>
        <v>537.5</v>
      </c>
      <c r="H20" s="110"/>
    </row>
    <row r="21" spans="1:8" ht="11" customHeight="1">
      <c r="A21" s="121">
        <v>12</v>
      </c>
      <c r="B21" s="120" t="s">
        <v>1135</v>
      </c>
      <c r="C21" s="119" t="s">
        <v>1120</v>
      </c>
      <c r="D21" s="107">
        <v>0.51300000000000001</v>
      </c>
      <c r="E21" s="107">
        <v>202.75</v>
      </c>
      <c r="F21" s="107">
        <f t="shared" si="0"/>
        <v>104.01075</v>
      </c>
      <c r="H21" s="110"/>
    </row>
    <row r="22" spans="1:8" ht="11" customHeight="1">
      <c r="A22" s="121">
        <v>13</v>
      </c>
      <c r="B22" s="120" t="s">
        <v>1180</v>
      </c>
      <c r="C22" s="119" t="s">
        <v>1140</v>
      </c>
      <c r="D22" s="107">
        <v>0.20100000000000001</v>
      </c>
      <c r="E22" s="107">
        <v>64.680000000000007</v>
      </c>
      <c r="F22" s="107">
        <f t="shared" si="0"/>
        <v>13.000680000000003</v>
      </c>
      <c r="H22" s="110"/>
    </row>
    <row r="23" spans="1:8" ht="11" customHeight="1">
      <c r="A23" s="121">
        <v>14</v>
      </c>
      <c r="B23" s="120" t="s">
        <v>1179</v>
      </c>
      <c r="C23" s="119" t="s">
        <v>1140</v>
      </c>
      <c r="D23" s="107">
        <v>1.4999999999999999E-2</v>
      </c>
      <c r="E23" s="107">
        <v>1000</v>
      </c>
      <c r="F23" s="107">
        <f t="shared" si="0"/>
        <v>15</v>
      </c>
      <c r="H23" s="110"/>
    </row>
    <row r="24" spans="1:8" ht="11" customHeight="1">
      <c r="A24" s="121">
        <v>15</v>
      </c>
      <c r="B24" s="120" t="s">
        <v>1244</v>
      </c>
      <c r="C24" s="119" t="s">
        <v>1120</v>
      </c>
      <c r="D24" s="107">
        <v>0.22900000000000001</v>
      </c>
      <c r="E24" s="107">
        <v>158.33000000000001</v>
      </c>
      <c r="F24" s="107">
        <f t="shared" si="0"/>
        <v>36.257570000000001</v>
      </c>
      <c r="H24" s="110"/>
    </row>
    <row r="25" spans="1:8" ht="11" customHeight="1">
      <c r="A25" s="121">
        <v>16</v>
      </c>
      <c r="B25" s="120" t="s">
        <v>1178</v>
      </c>
      <c r="C25" s="119" t="s">
        <v>1177</v>
      </c>
      <c r="D25" s="107">
        <v>0.105</v>
      </c>
      <c r="E25" s="107">
        <v>638.33000000000004</v>
      </c>
      <c r="F25" s="107">
        <f t="shared" si="0"/>
        <v>67.024650000000008</v>
      </c>
      <c r="H25" s="110"/>
    </row>
    <row r="26" spans="1:8" ht="11" customHeight="1">
      <c r="A26" s="121">
        <v>17</v>
      </c>
      <c r="B26" s="120" t="s">
        <v>1243</v>
      </c>
      <c r="C26" s="119" t="s">
        <v>1120</v>
      </c>
      <c r="D26" s="107">
        <v>2.1030000000000002</v>
      </c>
      <c r="E26" s="107">
        <v>69.58</v>
      </c>
      <c r="F26" s="107">
        <f t="shared" si="0"/>
        <v>146.32674</v>
      </c>
      <c r="H26" s="110"/>
    </row>
    <row r="27" spans="1:8" ht="11" customHeight="1">
      <c r="A27" s="121">
        <v>18</v>
      </c>
      <c r="B27" s="120" t="s">
        <v>1246</v>
      </c>
      <c r="C27" s="119" t="s">
        <v>1120</v>
      </c>
      <c r="D27" s="107">
        <v>2.4700000000000002</v>
      </c>
      <c r="E27" s="107">
        <v>69.17</v>
      </c>
      <c r="F27" s="107">
        <f t="shared" si="0"/>
        <v>170.84990000000002</v>
      </c>
      <c r="H27" s="122"/>
    </row>
    <row r="28" spans="1:8" ht="11" customHeight="1">
      <c r="A28" s="121">
        <v>19</v>
      </c>
      <c r="B28" s="120" t="s">
        <v>1252</v>
      </c>
      <c r="C28" s="119" t="s">
        <v>1120</v>
      </c>
      <c r="D28" s="107">
        <v>4.0000000000000001E-3</v>
      </c>
      <c r="E28" s="107">
        <v>85.83</v>
      </c>
      <c r="F28" s="107">
        <f t="shared" si="0"/>
        <v>0.34332000000000001</v>
      </c>
      <c r="H28" s="110"/>
    </row>
    <row r="29" spans="1:8" ht="11" customHeight="1">
      <c r="A29" s="121">
        <v>20</v>
      </c>
      <c r="B29" s="120" t="s">
        <v>1245</v>
      </c>
      <c r="C29" s="119" t="s">
        <v>1120</v>
      </c>
      <c r="D29" s="107">
        <v>8.4749999999999996</v>
      </c>
      <c r="E29" s="107">
        <v>69.17</v>
      </c>
      <c r="F29" s="107">
        <f t="shared" si="0"/>
        <v>586.21574999999996</v>
      </c>
      <c r="H29" s="110"/>
    </row>
    <row r="30" spans="1:8" ht="11" customHeight="1">
      <c r="A30" s="121">
        <v>21</v>
      </c>
      <c r="B30" s="120" t="s">
        <v>1176</v>
      </c>
      <c r="C30" s="119" t="s">
        <v>1140</v>
      </c>
      <c r="D30" s="107" t="s">
        <v>1142</v>
      </c>
      <c r="E30" s="107">
        <v>18.95</v>
      </c>
      <c r="F30" s="107">
        <f t="shared" si="0"/>
        <v>18.95</v>
      </c>
      <c r="H30" s="110"/>
    </row>
    <row r="31" spans="1:8" ht="11" customHeight="1">
      <c r="A31" s="121">
        <v>22</v>
      </c>
      <c r="B31" s="120" t="s">
        <v>1121</v>
      </c>
      <c r="C31" s="119" t="s">
        <v>1120</v>
      </c>
      <c r="D31" s="107">
        <v>1.4E-2</v>
      </c>
      <c r="E31" s="107">
        <v>290</v>
      </c>
      <c r="F31" s="107">
        <f t="shared" si="0"/>
        <v>4.0600000000000005</v>
      </c>
      <c r="H31" s="110"/>
    </row>
    <row r="32" spans="1:8" ht="11" customHeight="1">
      <c r="A32" s="118"/>
      <c r="B32" s="105" t="s">
        <v>1118</v>
      </c>
      <c r="C32" s="105"/>
      <c r="D32" s="105"/>
      <c r="E32" s="105"/>
      <c r="F32" s="114">
        <f>SUM(F10:F31)</f>
        <v>1802.4063599999997</v>
      </c>
      <c r="H32" s="110"/>
    </row>
    <row r="33" spans="1:8" ht="17.25" customHeight="1">
      <c r="A33" s="117"/>
      <c r="B33" s="104" t="s">
        <v>1117</v>
      </c>
      <c r="C33" s="104"/>
      <c r="D33" s="104"/>
      <c r="E33" s="108">
        <v>0.01</v>
      </c>
      <c r="F33" s="116">
        <f>F32*E33</f>
        <v>18.024063599999998</v>
      </c>
      <c r="H33" s="110"/>
    </row>
    <row r="34" spans="1:8" ht="16.5" customHeight="1">
      <c r="A34" s="115"/>
      <c r="B34" s="105" t="s">
        <v>1116</v>
      </c>
      <c r="C34" s="105"/>
      <c r="D34" s="105"/>
      <c r="E34" s="105"/>
      <c r="F34" s="114">
        <f>SUM(F32,F33)</f>
        <v>1820.4304235999998</v>
      </c>
      <c r="H34" s="112"/>
    </row>
    <row r="35" spans="1:8" ht="16.5" customHeight="1">
      <c r="A35" s="104" t="s">
        <v>1115</v>
      </c>
      <c r="B35" s="104" t="s">
        <v>1114</v>
      </c>
      <c r="C35" s="104"/>
      <c r="D35" s="104"/>
      <c r="E35" s="108">
        <v>0.11</v>
      </c>
      <c r="F35" s="106">
        <f>F34*E35</f>
        <v>200.24734659599997</v>
      </c>
      <c r="H35" s="113"/>
    </row>
    <row r="36" spans="1:8" ht="14.25" customHeight="1">
      <c r="A36" s="104"/>
      <c r="B36" s="109" t="s">
        <v>1113</v>
      </c>
      <c r="C36" s="104"/>
      <c r="D36" s="104"/>
      <c r="E36" s="108">
        <v>0.14000000000000001</v>
      </c>
      <c r="F36" s="106">
        <f>F35*E36</f>
        <v>28.034628523439999</v>
      </c>
      <c r="H36" s="112"/>
    </row>
    <row r="37" spans="1:8" ht="15" customHeight="1">
      <c r="A37" s="104"/>
      <c r="B37" s="109" t="s">
        <v>1112</v>
      </c>
      <c r="C37" s="104"/>
      <c r="D37" s="104"/>
      <c r="E37" s="111">
        <v>0.309</v>
      </c>
      <c r="F37" s="106">
        <f>(F35+F36)*E37</f>
        <v>70.539130311906959</v>
      </c>
      <c r="H37" s="110"/>
    </row>
    <row r="38" spans="1:8" ht="15" customHeight="1">
      <c r="A38" s="104"/>
      <c r="B38" s="109" t="s">
        <v>1111</v>
      </c>
      <c r="C38" s="104"/>
      <c r="D38" s="104"/>
      <c r="E38" s="107"/>
      <c r="F38" s="106"/>
      <c r="H38" s="110"/>
    </row>
    <row r="39" spans="1:8" ht="19.5" customHeight="1">
      <c r="A39" s="104" t="s">
        <v>1110</v>
      </c>
      <c r="B39" s="109" t="s">
        <v>1109</v>
      </c>
      <c r="C39" s="104"/>
      <c r="D39" s="104"/>
      <c r="E39" s="108">
        <v>1.5</v>
      </c>
      <c r="F39" s="106">
        <f>F35*E39</f>
        <v>300.37101989399997</v>
      </c>
    </row>
    <row r="40" spans="1:8" ht="18" customHeight="1">
      <c r="A40" s="104" t="s">
        <v>1108</v>
      </c>
      <c r="B40" s="104" t="s">
        <v>1107</v>
      </c>
      <c r="C40" s="104"/>
      <c r="D40" s="104"/>
      <c r="E40" s="107"/>
      <c r="F40" s="106">
        <f>F34+F35+F36+F37+F38+F39</f>
        <v>2419.6225489253461</v>
      </c>
    </row>
    <row r="41" spans="1:8" ht="14.25" customHeight="1">
      <c r="A41" s="104" t="s">
        <v>1106</v>
      </c>
      <c r="B41" s="104" t="s">
        <v>1105</v>
      </c>
      <c r="C41" s="104"/>
      <c r="D41" s="104"/>
      <c r="E41" s="108">
        <v>1</v>
      </c>
      <c r="F41" s="106">
        <f>F35*E41</f>
        <v>200.24734659599997</v>
      </c>
    </row>
    <row r="42" spans="1:8" ht="14.25" customHeight="1">
      <c r="A42" s="104"/>
      <c r="B42" s="104"/>
      <c r="C42" s="104"/>
      <c r="D42" s="104"/>
      <c r="E42" s="108">
        <v>0.8</v>
      </c>
      <c r="F42" s="106">
        <f>F35*E42</f>
        <v>160.1978772768</v>
      </c>
    </row>
    <row r="43" spans="1:8" ht="14.25" customHeight="1">
      <c r="A43" s="104" t="s">
        <v>1104</v>
      </c>
      <c r="B43" s="104" t="s">
        <v>1103</v>
      </c>
      <c r="C43" s="104"/>
      <c r="D43" s="104"/>
      <c r="E43" s="107"/>
      <c r="F43" s="106">
        <f>F40+F41</f>
        <v>2619.8698955213463</v>
      </c>
    </row>
    <row r="44" spans="1:8" ht="13.5" customHeight="1">
      <c r="A44" s="104"/>
      <c r="B44" s="104"/>
      <c r="C44" s="104"/>
      <c r="D44" s="104"/>
      <c r="E44" s="107"/>
      <c r="F44" s="106">
        <f>F40+F42</f>
        <v>2579.8204262021463</v>
      </c>
    </row>
    <row r="45" spans="1:8" ht="14.25" customHeight="1">
      <c r="A45" s="104" t="s">
        <v>1102</v>
      </c>
      <c r="B45" s="104" t="s">
        <v>83</v>
      </c>
      <c r="C45" s="104"/>
      <c r="D45" s="104"/>
      <c r="E45" s="108">
        <v>0.4</v>
      </c>
      <c r="F45" s="106">
        <f>F43*E45</f>
        <v>1047.9479582085385</v>
      </c>
    </row>
    <row r="46" spans="1:8" ht="12.75" customHeight="1">
      <c r="A46" s="104"/>
      <c r="B46" s="104"/>
      <c r="C46" s="104"/>
      <c r="D46" s="104"/>
      <c r="E46" s="108">
        <v>7.0000000000000007E-2</v>
      </c>
      <c r="F46" s="106">
        <f>F43*E46</f>
        <v>183.39089268649425</v>
      </c>
    </row>
    <row r="47" spans="1:8" ht="14.25" customHeight="1">
      <c r="A47" s="104" t="s">
        <v>1101</v>
      </c>
      <c r="B47" s="104" t="s">
        <v>1100</v>
      </c>
      <c r="C47" s="104"/>
      <c r="D47" s="104"/>
      <c r="E47" s="107"/>
      <c r="F47" s="106">
        <v>160.78</v>
      </c>
    </row>
    <row r="48" spans="1:8" ht="14.25" customHeight="1">
      <c r="A48" s="104"/>
      <c r="B48" s="104" t="s">
        <v>1099</v>
      </c>
      <c r="C48" s="104"/>
      <c r="D48" s="104"/>
      <c r="E48" s="107"/>
      <c r="F48" s="106">
        <f>F43+F45+F47</f>
        <v>3828.5978537298847</v>
      </c>
    </row>
    <row r="49" spans="1:6" ht="12.75" customHeight="1">
      <c r="A49" s="104"/>
      <c r="B49" s="104"/>
      <c r="C49" s="104"/>
      <c r="D49" s="104"/>
      <c r="E49" s="107"/>
      <c r="F49" s="106">
        <f>F44+F46+F47</f>
        <v>2923.9913188886408</v>
      </c>
    </row>
    <row r="50" spans="1:6" ht="13.5" customHeight="1">
      <c r="A50" s="104"/>
      <c r="B50" s="104" t="s">
        <v>1098</v>
      </c>
      <c r="C50" s="104"/>
      <c r="D50" s="104"/>
      <c r="E50" s="108">
        <v>0.22</v>
      </c>
      <c r="F50" s="106">
        <f>F48*E50</f>
        <v>842.29152782057463</v>
      </c>
    </row>
    <row r="51" spans="1:6" ht="13.5" customHeight="1">
      <c r="A51" s="104"/>
      <c r="B51" s="104"/>
      <c r="C51" s="104"/>
      <c r="D51" s="104"/>
      <c r="E51" s="108">
        <v>0.22</v>
      </c>
      <c r="F51" s="106">
        <f>F49*E51</f>
        <v>643.27809015550099</v>
      </c>
    </row>
    <row r="52" spans="1:6" ht="12" customHeight="1">
      <c r="A52" s="104"/>
      <c r="B52" s="105" t="s">
        <v>1097</v>
      </c>
      <c r="C52" s="104"/>
      <c r="D52" s="104"/>
      <c r="E52" s="103" t="s">
        <v>1096</v>
      </c>
      <c r="F52" s="102">
        <f>F48+F50</f>
        <v>4670.8893815504598</v>
      </c>
    </row>
    <row r="53" spans="1:6" ht="12.75" customHeight="1">
      <c r="A53" s="104"/>
      <c r="B53" s="104"/>
      <c r="C53" s="104"/>
      <c r="D53" s="104"/>
      <c r="E53" s="103" t="s">
        <v>1095</v>
      </c>
      <c r="F53" s="102">
        <f>F49+F51</f>
        <v>3567.2694090441419</v>
      </c>
    </row>
    <row r="54" spans="1:6" ht="11" customHeight="1"/>
    <row r="55" spans="1:6" ht="11" customHeight="1"/>
    <row r="56" spans="1:6" ht="11" customHeight="1">
      <c r="B56" s="101" t="s">
        <v>1094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pageOrder="overThenDown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  <pageSetUpPr autoPageBreaks="0"/>
  </sheetPr>
  <dimension ref="A1:H51"/>
  <sheetViews>
    <sheetView topLeftCell="A7" zoomScale="120" zoomScaleNormal="120" workbookViewId="0">
      <selection activeCell="I41" sqref="I41"/>
    </sheetView>
  </sheetViews>
  <sheetFormatPr baseColWidth="10" defaultColWidth="9" defaultRowHeight="11.5" customHeight="1"/>
  <cols>
    <col min="1" max="1" width="5.5" style="73" customWidth="1"/>
    <col min="2" max="2" width="42.1640625" style="73" customWidth="1"/>
    <col min="3" max="3" width="12.5" style="73" customWidth="1"/>
    <col min="4" max="4" width="8.5" style="73" customWidth="1"/>
    <col min="5" max="5" width="9.5" style="73" customWidth="1"/>
    <col min="6" max="6" width="14.1640625" style="73" customWidth="1"/>
    <col min="7" max="7" width="9" style="72"/>
    <col min="8" max="8" width="10.6640625" style="72" customWidth="1"/>
    <col min="9" max="16384" width="9" style="72"/>
  </cols>
  <sheetData>
    <row r="1" spans="1:8" ht="11" customHeight="1">
      <c r="F1" s="97" t="s">
        <v>1161</v>
      </c>
    </row>
    <row r="2" spans="1:8" ht="11" customHeight="1">
      <c r="F2" s="97" t="s">
        <v>1160</v>
      </c>
    </row>
    <row r="3" spans="1:8" ht="11" customHeight="1">
      <c r="F3" s="97" t="s">
        <v>1159</v>
      </c>
    </row>
    <row r="4" spans="1:8" ht="11" customHeight="1">
      <c r="F4" s="97" t="s">
        <v>1158</v>
      </c>
    </row>
    <row r="5" spans="1:8" ht="16" customHeight="1">
      <c r="A5" s="96" t="s">
        <v>1157</v>
      </c>
      <c r="F5" s="95" t="s">
        <v>1156</v>
      </c>
    </row>
    <row r="6" spans="1:8" ht="11" customHeight="1"/>
    <row r="7" spans="1:8" ht="13" customHeight="1">
      <c r="A7" s="353" t="s">
        <v>113</v>
      </c>
      <c r="B7" s="353"/>
      <c r="C7" s="353"/>
      <c r="D7" s="353"/>
      <c r="E7" s="353"/>
      <c r="F7" s="353"/>
    </row>
    <row r="8" spans="1:8" s="94" customFormat="1" ht="3" customHeight="1"/>
    <row r="9" spans="1:8" ht="11" customHeight="1">
      <c r="A9" s="171" t="s">
        <v>1154</v>
      </c>
      <c r="B9" s="171" t="s">
        <v>1153</v>
      </c>
      <c r="C9" s="171" t="s">
        <v>1152</v>
      </c>
      <c r="D9" s="171" t="s">
        <v>1151</v>
      </c>
      <c r="E9" s="171" t="s">
        <v>1239</v>
      </c>
      <c r="F9" s="171" t="s">
        <v>1240</v>
      </c>
      <c r="H9" s="110"/>
    </row>
    <row r="10" spans="1:8" ht="23" customHeight="1">
      <c r="A10" s="172">
        <v>1</v>
      </c>
      <c r="B10" s="173" t="s">
        <v>1241</v>
      </c>
      <c r="C10" s="174" t="s">
        <v>1191</v>
      </c>
      <c r="D10" s="175">
        <v>1.2E-2</v>
      </c>
      <c r="E10" s="175">
        <v>616.66999999999996</v>
      </c>
      <c r="F10" s="175">
        <f t="shared" ref="F10:F26" si="0">E10*D10</f>
        <v>7.4000399999999997</v>
      </c>
      <c r="H10" s="110"/>
    </row>
    <row r="11" spans="1:8" ht="23" customHeight="1">
      <c r="A11" s="172">
        <v>2</v>
      </c>
      <c r="B11" s="173" t="s">
        <v>1242</v>
      </c>
      <c r="C11" s="174" t="s">
        <v>1191</v>
      </c>
      <c r="D11" s="175">
        <v>1E-3</v>
      </c>
      <c r="E11" s="175">
        <v>468.33</v>
      </c>
      <c r="F11" s="175">
        <f t="shared" si="0"/>
        <v>0.46832999999999997</v>
      </c>
      <c r="H11" s="110"/>
    </row>
    <row r="12" spans="1:8" ht="11" customHeight="1">
      <c r="A12" s="172">
        <v>3</v>
      </c>
      <c r="B12" s="173" t="s">
        <v>1188</v>
      </c>
      <c r="C12" s="174" t="s">
        <v>1120</v>
      </c>
      <c r="D12" s="175">
        <v>3.0000000000000001E-3</v>
      </c>
      <c r="E12" s="175" t="s">
        <v>1187</v>
      </c>
      <c r="F12" s="175">
        <f t="shared" si="0"/>
        <v>0.46200000000000002</v>
      </c>
      <c r="H12" s="110"/>
    </row>
    <row r="13" spans="1:8" ht="11" customHeight="1">
      <c r="A13" s="172">
        <v>4</v>
      </c>
      <c r="B13" s="173" t="s">
        <v>1144</v>
      </c>
      <c r="C13" s="174" t="s">
        <v>1140</v>
      </c>
      <c r="D13" s="175" t="s">
        <v>1142</v>
      </c>
      <c r="E13" s="175">
        <v>1.4</v>
      </c>
      <c r="F13" s="175">
        <f t="shared" si="0"/>
        <v>1.4</v>
      </c>
      <c r="H13" s="110"/>
    </row>
    <row r="14" spans="1:8" ht="11" customHeight="1">
      <c r="A14" s="172">
        <v>5</v>
      </c>
      <c r="B14" s="173" t="s">
        <v>1186</v>
      </c>
      <c r="C14" s="174" t="s">
        <v>1140</v>
      </c>
      <c r="D14" s="175" t="s">
        <v>1142</v>
      </c>
      <c r="E14" s="175"/>
      <c r="F14" s="175">
        <f t="shared" si="0"/>
        <v>0</v>
      </c>
      <c r="H14" s="110"/>
    </row>
    <row r="15" spans="1:8" ht="11" customHeight="1">
      <c r="A15" s="172">
        <v>6</v>
      </c>
      <c r="B15" s="173" t="s">
        <v>1193</v>
      </c>
      <c r="C15" s="174" t="s">
        <v>1140</v>
      </c>
      <c r="D15" s="175" t="s">
        <v>1142</v>
      </c>
      <c r="E15" s="175">
        <v>495</v>
      </c>
      <c r="F15" s="175">
        <f t="shared" si="0"/>
        <v>495</v>
      </c>
      <c r="H15" s="110"/>
    </row>
    <row r="16" spans="1:8" ht="11" customHeight="1">
      <c r="A16" s="172">
        <v>7</v>
      </c>
      <c r="B16" s="173" t="s">
        <v>1184</v>
      </c>
      <c r="C16" s="174" t="s">
        <v>1140</v>
      </c>
      <c r="D16" s="175" t="s">
        <v>1142</v>
      </c>
      <c r="E16" s="175"/>
      <c r="F16" s="175">
        <f t="shared" si="0"/>
        <v>0</v>
      </c>
      <c r="H16" s="110"/>
    </row>
    <row r="17" spans="1:8" ht="11" customHeight="1">
      <c r="A17" s="172">
        <v>8</v>
      </c>
      <c r="B17" s="173" t="s">
        <v>1183</v>
      </c>
      <c r="C17" s="174" t="s">
        <v>1120</v>
      </c>
      <c r="D17" s="175">
        <v>1.4E-2</v>
      </c>
      <c r="E17" s="175">
        <v>133.33000000000001</v>
      </c>
      <c r="F17" s="175">
        <f t="shared" si="0"/>
        <v>1.8666200000000002</v>
      </c>
      <c r="H17" s="110"/>
    </row>
    <row r="18" spans="1:8" ht="11" customHeight="1">
      <c r="A18" s="172">
        <v>9</v>
      </c>
      <c r="B18" s="173" t="s">
        <v>1135</v>
      </c>
      <c r="C18" s="174" t="s">
        <v>1120</v>
      </c>
      <c r="D18" s="175">
        <v>0.503</v>
      </c>
      <c r="E18" s="175">
        <v>202.75</v>
      </c>
      <c r="F18" s="175">
        <f t="shared" si="0"/>
        <v>101.98325</v>
      </c>
      <c r="H18" s="110"/>
    </row>
    <row r="19" spans="1:8" ht="11" customHeight="1">
      <c r="A19" s="172">
        <v>10</v>
      </c>
      <c r="B19" s="173" t="s">
        <v>1243</v>
      </c>
      <c r="C19" s="174" t="s">
        <v>1120</v>
      </c>
      <c r="D19" s="175">
        <v>1.9770000000000001</v>
      </c>
      <c r="E19" s="175">
        <v>69.58</v>
      </c>
      <c r="F19" s="175">
        <f t="shared" si="0"/>
        <v>137.55966000000001</v>
      </c>
      <c r="H19" s="110"/>
    </row>
    <row r="20" spans="1:8" ht="11" customHeight="1">
      <c r="A20" s="172">
        <v>11</v>
      </c>
      <c r="B20" s="173" t="s">
        <v>1180</v>
      </c>
      <c r="C20" s="174" t="s">
        <v>1140</v>
      </c>
      <c r="D20" s="175">
        <v>0.20100000000000001</v>
      </c>
      <c r="E20" s="175">
        <v>64.680000000000007</v>
      </c>
      <c r="F20" s="175">
        <f t="shared" si="0"/>
        <v>13.000680000000003</v>
      </c>
      <c r="H20" s="110"/>
    </row>
    <row r="21" spans="1:8" ht="11" customHeight="1">
      <c r="A21" s="172">
        <v>12</v>
      </c>
      <c r="B21" s="173" t="s">
        <v>1179</v>
      </c>
      <c r="C21" s="174" t="s">
        <v>1140</v>
      </c>
      <c r="D21" s="175">
        <v>1.4999999999999999E-2</v>
      </c>
      <c r="E21" s="175">
        <v>1000</v>
      </c>
      <c r="F21" s="175">
        <f t="shared" si="0"/>
        <v>15</v>
      </c>
      <c r="H21" s="110"/>
    </row>
    <row r="22" spans="1:8" ht="11" customHeight="1">
      <c r="A22" s="172">
        <v>13</v>
      </c>
      <c r="B22" s="173" t="s">
        <v>1244</v>
      </c>
      <c r="C22" s="174" t="s">
        <v>1120</v>
      </c>
      <c r="D22" s="175">
        <v>0.22900000000000001</v>
      </c>
      <c r="E22" s="175">
        <v>158.33000000000001</v>
      </c>
      <c r="F22" s="175">
        <f t="shared" si="0"/>
        <v>36.257570000000001</v>
      </c>
      <c r="H22" s="110"/>
    </row>
    <row r="23" spans="1:8" ht="11" customHeight="1">
      <c r="A23" s="172">
        <v>14</v>
      </c>
      <c r="B23" s="173" t="s">
        <v>1176</v>
      </c>
      <c r="C23" s="174" t="s">
        <v>1140</v>
      </c>
      <c r="D23" s="175" t="s">
        <v>1142</v>
      </c>
      <c r="E23" s="175">
        <v>18.95</v>
      </c>
      <c r="F23" s="175">
        <f t="shared" si="0"/>
        <v>18.95</v>
      </c>
      <c r="H23" s="110"/>
    </row>
    <row r="24" spans="1:8" ht="11" customHeight="1">
      <c r="A24" s="172">
        <v>15</v>
      </c>
      <c r="B24" s="173" t="s">
        <v>1245</v>
      </c>
      <c r="C24" s="174" t="s">
        <v>1120</v>
      </c>
      <c r="D24" s="175">
        <v>8.2349999999999994</v>
      </c>
      <c r="E24" s="175">
        <v>69.17</v>
      </c>
      <c r="F24" s="175">
        <f t="shared" si="0"/>
        <v>569.61495000000002</v>
      </c>
      <c r="H24" s="122"/>
    </row>
    <row r="25" spans="1:8" ht="11" customHeight="1">
      <c r="A25" s="172">
        <v>16</v>
      </c>
      <c r="B25" s="173" t="s">
        <v>1246</v>
      </c>
      <c r="C25" s="174" t="s">
        <v>1120</v>
      </c>
      <c r="D25" s="175">
        <v>2.4079999999999999</v>
      </c>
      <c r="E25" s="175">
        <v>69.17</v>
      </c>
      <c r="F25" s="175">
        <f t="shared" si="0"/>
        <v>166.56136000000001</v>
      </c>
      <c r="H25" s="110"/>
    </row>
    <row r="26" spans="1:8" ht="11" customHeight="1">
      <c r="A26" s="172">
        <v>17</v>
      </c>
      <c r="B26" s="173" t="s">
        <v>1121</v>
      </c>
      <c r="C26" s="174" t="s">
        <v>1120</v>
      </c>
      <c r="D26" s="175">
        <v>1.2999999999999999E-2</v>
      </c>
      <c r="E26" s="175" t="s">
        <v>1192</v>
      </c>
      <c r="F26" s="175">
        <f t="shared" si="0"/>
        <v>3.6139999999999999</v>
      </c>
      <c r="H26" s="110"/>
    </row>
    <row r="27" spans="1:8" ht="15" customHeight="1">
      <c r="A27" s="176"/>
      <c r="B27" s="177" t="s">
        <v>1118</v>
      </c>
      <c r="C27" s="177"/>
      <c r="D27" s="177"/>
      <c r="E27" s="177"/>
      <c r="F27" s="178">
        <f>SUM(F10:F26)</f>
        <v>1569.1384599999999</v>
      </c>
      <c r="H27" s="110"/>
    </row>
    <row r="28" spans="1:8" ht="16.5" customHeight="1">
      <c r="A28" s="179"/>
      <c r="B28" s="180" t="s">
        <v>1117</v>
      </c>
      <c r="C28" s="180"/>
      <c r="D28" s="180"/>
      <c r="E28" s="171">
        <v>0.01</v>
      </c>
      <c r="F28" s="171">
        <f>F27*E28</f>
        <v>15.691384599999999</v>
      </c>
      <c r="H28" s="110"/>
    </row>
    <row r="29" spans="1:8" ht="15" customHeight="1">
      <c r="A29" s="181"/>
      <c r="B29" s="177" t="s">
        <v>1116</v>
      </c>
      <c r="C29" s="177"/>
      <c r="D29" s="177"/>
      <c r="E29" s="177"/>
      <c r="F29" s="178">
        <f>SUM(F27,F28)</f>
        <v>1584.8298445999999</v>
      </c>
      <c r="H29" s="110"/>
    </row>
    <row r="30" spans="1:8" ht="17.25" customHeight="1">
      <c r="A30" s="180" t="s">
        <v>1115</v>
      </c>
      <c r="B30" s="180" t="s">
        <v>1114</v>
      </c>
      <c r="C30" s="180"/>
      <c r="D30" s="180"/>
      <c r="E30" s="171">
        <v>0.11</v>
      </c>
      <c r="F30" s="182">
        <f>F29*E30</f>
        <v>174.33128290599998</v>
      </c>
      <c r="H30" s="110"/>
    </row>
    <row r="31" spans="1:8" ht="15.75" customHeight="1">
      <c r="A31" s="180"/>
      <c r="B31" s="183" t="s">
        <v>1113</v>
      </c>
      <c r="C31" s="180"/>
      <c r="D31" s="180"/>
      <c r="E31" s="171">
        <v>0.14000000000000001</v>
      </c>
      <c r="F31" s="182">
        <f>F30*E31</f>
        <v>24.406379606840002</v>
      </c>
      <c r="H31" s="112"/>
    </row>
    <row r="32" spans="1:8" ht="14.25" customHeight="1">
      <c r="A32" s="180"/>
      <c r="B32" s="183" t="s">
        <v>1112</v>
      </c>
      <c r="C32" s="180"/>
      <c r="D32" s="180"/>
      <c r="E32" s="171">
        <v>0.309</v>
      </c>
      <c r="F32" s="182">
        <f>(F30+F31)*E32</f>
        <v>61.409937716467553</v>
      </c>
      <c r="H32" s="113"/>
    </row>
    <row r="33" spans="1:8" ht="14.25" customHeight="1">
      <c r="A33" s="180"/>
      <c r="B33" s="183" t="s">
        <v>1111</v>
      </c>
      <c r="C33" s="180"/>
      <c r="D33" s="180"/>
      <c r="E33" s="171"/>
      <c r="F33" s="182"/>
      <c r="H33" s="112"/>
    </row>
    <row r="34" spans="1:8" ht="13.5" customHeight="1">
      <c r="A34" s="180" t="s">
        <v>1110</v>
      </c>
      <c r="B34" s="183" t="s">
        <v>1109</v>
      </c>
      <c r="C34" s="180"/>
      <c r="D34" s="180"/>
      <c r="E34" s="171">
        <v>1.5</v>
      </c>
      <c r="F34" s="182">
        <f>F30*E34</f>
        <v>261.49692435899999</v>
      </c>
      <c r="H34" s="110"/>
    </row>
    <row r="35" spans="1:8" ht="15" customHeight="1">
      <c r="A35" s="180" t="s">
        <v>1108</v>
      </c>
      <c r="B35" s="180" t="s">
        <v>1107</v>
      </c>
      <c r="C35" s="180"/>
      <c r="D35" s="180"/>
      <c r="E35" s="171"/>
      <c r="F35" s="182">
        <f>F29+F30+F31+F32+F33+F34</f>
        <v>2106.4743691883073</v>
      </c>
      <c r="H35" s="110"/>
    </row>
    <row r="36" spans="1:8" ht="15" customHeight="1">
      <c r="A36" s="180" t="s">
        <v>1106</v>
      </c>
      <c r="B36" s="180" t="s">
        <v>1105</v>
      </c>
      <c r="C36" s="180"/>
      <c r="D36" s="180"/>
      <c r="E36" s="171">
        <v>1</v>
      </c>
      <c r="F36" s="182">
        <f>F30*E36</f>
        <v>174.33128290599998</v>
      </c>
      <c r="H36" s="110"/>
    </row>
    <row r="37" spans="1:8" ht="13.5" customHeight="1">
      <c r="A37" s="180"/>
      <c r="B37" s="180"/>
      <c r="C37" s="180"/>
      <c r="D37" s="180"/>
      <c r="E37" s="171">
        <v>0.8</v>
      </c>
      <c r="F37" s="182">
        <f>F30*E37</f>
        <v>139.46502632479999</v>
      </c>
      <c r="H37" s="110"/>
    </row>
    <row r="38" spans="1:8" ht="13.5" customHeight="1">
      <c r="A38" s="180" t="s">
        <v>1104</v>
      </c>
      <c r="B38" s="180" t="s">
        <v>1103</v>
      </c>
      <c r="C38" s="180"/>
      <c r="D38" s="180"/>
      <c r="E38" s="171"/>
      <c r="F38" s="182">
        <f>F35+F36</f>
        <v>2280.8056520943073</v>
      </c>
      <c r="H38" s="110"/>
    </row>
    <row r="39" spans="1:8" ht="14.25" customHeight="1">
      <c r="A39" s="180"/>
      <c r="B39" s="180"/>
      <c r="C39" s="180"/>
      <c r="D39" s="180"/>
      <c r="E39" s="171"/>
      <c r="F39" s="182">
        <f>F35+F37</f>
        <v>2245.9393955131072</v>
      </c>
    </row>
    <row r="40" spans="1:8" ht="14.25" customHeight="1">
      <c r="A40" s="180" t="s">
        <v>1102</v>
      </c>
      <c r="B40" s="180" t="s">
        <v>83</v>
      </c>
      <c r="C40" s="180"/>
      <c r="D40" s="180"/>
      <c r="E40" s="171">
        <v>0.4</v>
      </c>
      <c r="F40" s="182">
        <f>F38*E40</f>
        <v>912.32226083772298</v>
      </c>
    </row>
    <row r="41" spans="1:8" ht="15" customHeight="1">
      <c r="A41" s="180"/>
      <c r="B41" s="180"/>
      <c r="C41" s="180"/>
      <c r="D41" s="180"/>
      <c r="E41" s="171">
        <v>7.0000000000000007E-2</v>
      </c>
      <c r="F41" s="182">
        <f>F38*E41</f>
        <v>159.65639564660154</v>
      </c>
    </row>
    <row r="42" spans="1:8" ht="11" customHeight="1">
      <c r="A42" s="180" t="s">
        <v>1101</v>
      </c>
      <c r="B42" s="180" t="s">
        <v>1100</v>
      </c>
      <c r="C42" s="180"/>
      <c r="D42" s="180"/>
      <c r="E42" s="171"/>
      <c r="F42" s="182">
        <v>160.78</v>
      </c>
    </row>
    <row r="43" spans="1:8" ht="20.25" customHeight="1">
      <c r="A43" s="180"/>
      <c r="B43" s="180" t="s">
        <v>1099</v>
      </c>
      <c r="C43" s="180"/>
      <c r="D43" s="180"/>
      <c r="E43" s="171"/>
      <c r="F43" s="182">
        <f>F38+F40+F42</f>
        <v>3353.9079129320303</v>
      </c>
    </row>
    <row r="44" spans="1:8" ht="11" customHeight="1">
      <c r="A44" s="180"/>
      <c r="B44" s="180"/>
      <c r="C44" s="180"/>
      <c r="D44" s="180"/>
      <c r="E44" s="171"/>
      <c r="F44" s="182">
        <f>F39+F41+F42</f>
        <v>2566.375791159709</v>
      </c>
    </row>
    <row r="45" spans="1:8" ht="11" customHeight="1">
      <c r="A45" s="180"/>
      <c r="B45" s="180" t="s">
        <v>1098</v>
      </c>
      <c r="C45" s="180"/>
      <c r="D45" s="180"/>
      <c r="E45" s="171">
        <v>0.22</v>
      </c>
      <c r="F45" s="182">
        <f>F43*E45</f>
        <v>737.85974084504664</v>
      </c>
    </row>
    <row r="46" spans="1:8" ht="11" customHeight="1">
      <c r="A46" s="180"/>
      <c r="B46" s="180"/>
      <c r="C46" s="180"/>
      <c r="D46" s="180"/>
      <c r="E46" s="171">
        <v>0.22</v>
      </c>
      <c r="F46" s="182">
        <f>F44*E46</f>
        <v>564.60267405513594</v>
      </c>
    </row>
    <row r="47" spans="1:8" ht="11" customHeight="1">
      <c r="A47" s="180"/>
      <c r="B47" s="177" t="s">
        <v>1097</v>
      </c>
      <c r="C47" s="180"/>
      <c r="D47" s="180"/>
      <c r="E47" s="178" t="s">
        <v>1096</v>
      </c>
      <c r="F47" s="184">
        <f>F43+F45</f>
        <v>4091.7676537770767</v>
      </c>
    </row>
    <row r="48" spans="1:8" ht="11" customHeight="1">
      <c r="A48" s="180"/>
      <c r="B48" s="180"/>
      <c r="C48" s="180"/>
      <c r="D48" s="180"/>
      <c r="E48" s="178" t="s">
        <v>1095</v>
      </c>
      <c r="F48" s="184">
        <f>F44+F46</f>
        <v>3130.9784652148451</v>
      </c>
    </row>
    <row r="49" spans="2:2" s="73" customFormat="1" ht="11" customHeight="1"/>
    <row r="50" spans="2:2" s="73" customFormat="1" ht="11" customHeight="1"/>
    <row r="51" spans="2:2" s="73" customFormat="1" ht="11" customHeight="1">
      <c r="B51" s="73" t="s">
        <v>1094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pageOrder="overThenDown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  <pageSetUpPr autoPageBreaks="0"/>
  </sheetPr>
  <dimension ref="A1:H56"/>
  <sheetViews>
    <sheetView topLeftCell="A9" workbookViewId="0">
      <selection activeCell="M49" sqref="M49"/>
    </sheetView>
  </sheetViews>
  <sheetFormatPr baseColWidth="10" defaultColWidth="9" defaultRowHeight="11.5" customHeight="1"/>
  <cols>
    <col min="1" max="1" width="5.5" style="101" customWidth="1"/>
    <col min="2" max="2" width="42.1640625" style="101" customWidth="1"/>
    <col min="3" max="3" width="12.5" style="101" customWidth="1"/>
    <col min="4" max="4" width="8.5" style="101" customWidth="1"/>
    <col min="5" max="5" width="9.5" style="101" customWidth="1"/>
    <col min="6" max="6" width="14.1640625" style="101" customWidth="1"/>
    <col min="7" max="7" width="9" style="100"/>
    <col min="8" max="8" width="10.6640625" style="100" customWidth="1"/>
    <col min="9" max="16384" width="9" style="100"/>
  </cols>
  <sheetData>
    <row r="1" spans="1:8" ht="11" customHeight="1">
      <c r="F1" s="126" t="s">
        <v>1161</v>
      </c>
    </row>
    <row r="2" spans="1:8" ht="11" customHeight="1">
      <c r="F2" s="126" t="s">
        <v>1160</v>
      </c>
    </row>
    <row r="3" spans="1:8" ht="11" customHeight="1">
      <c r="F3" s="126" t="s">
        <v>1159</v>
      </c>
    </row>
    <row r="4" spans="1:8" ht="11" customHeight="1">
      <c r="F4" s="126" t="s">
        <v>1158</v>
      </c>
    </row>
    <row r="5" spans="1:8" ht="16" customHeight="1">
      <c r="A5" s="125" t="s">
        <v>1157</v>
      </c>
      <c r="F5" s="124" t="s">
        <v>1156</v>
      </c>
    </row>
    <row r="6" spans="1:8" ht="11" customHeight="1"/>
    <row r="7" spans="1:8" ht="13" customHeight="1">
      <c r="A7" s="358" t="s">
        <v>112</v>
      </c>
      <c r="B7" s="358"/>
      <c r="C7" s="358"/>
      <c r="D7" s="358"/>
      <c r="E7" s="358"/>
      <c r="F7" s="358"/>
    </row>
    <row r="8" spans="1:8" s="123" customFormat="1" ht="3" customHeight="1"/>
    <row r="9" spans="1:8" ht="11" customHeight="1">
      <c r="A9" s="107" t="s">
        <v>1154</v>
      </c>
      <c r="B9" s="107" t="s">
        <v>1153</v>
      </c>
      <c r="C9" s="107" t="s">
        <v>1152</v>
      </c>
      <c r="D9" s="107" t="s">
        <v>1151</v>
      </c>
      <c r="E9" s="107" t="s">
        <v>1239</v>
      </c>
      <c r="F9" s="107" t="s">
        <v>1240</v>
      </c>
      <c r="H9" s="110"/>
    </row>
    <row r="10" spans="1:8" ht="23" customHeight="1">
      <c r="A10" s="121">
        <v>1</v>
      </c>
      <c r="B10" s="120" t="s">
        <v>1241</v>
      </c>
      <c r="C10" s="119" t="s">
        <v>1191</v>
      </c>
      <c r="D10" s="107">
        <v>1.2E-2</v>
      </c>
      <c r="E10" s="107">
        <v>616.66999999999996</v>
      </c>
      <c r="F10" s="107">
        <f t="shared" ref="F10:F31" si="0">E10*D10</f>
        <v>7.4000399999999997</v>
      </c>
      <c r="H10" s="110"/>
    </row>
    <row r="11" spans="1:8" ht="23" customHeight="1">
      <c r="A11" s="121">
        <v>2</v>
      </c>
      <c r="B11" s="120" t="s">
        <v>1242</v>
      </c>
      <c r="C11" s="119" t="s">
        <v>1191</v>
      </c>
      <c r="D11" s="107">
        <v>1E-3</v>
      </c>
      <c r="E11" s="107">
        <v>468.33</v>
      </c>
      <c r="F11" s="107">
        <f t="shared" si="0"/>
        <v>0.46832999999999997</v>
      </c>
      <c r="H11" s="110"/>
    </row>
    <row r="12" spans="1:8" ht="23" customHeight="1">
      <c r="A12" s="121">
        <v>3</v>
      </c>
      <c r="B12" s="120" t="s">
        <v>1190</v>
      </c>
      <c r="C12" s="119" t="s">
        <v>1189</v>
      </c>
      <c r="D12" s="107" t="s">
        <v>1142</v>
      </c>
      <c r="E12" s="107">
        <v>84.78</v>
      </c>
      <c r="F12" s="107">
        <f t="shared" si="0"/>
        <v>84.78</v>
      </c>
      <c r="H12" s="110"/>
    </row>
    <row r="13" spans="1:8" ht="11" customHeight="1">
      <c r="A13" s="121">
        <v>4</v>
      </c>
      <c r="B13" s="120" t="s">
        <v>1188</v>
      </c>
      <c r="C13" s="119" t="s">
        <v>1120</v>
      </c>
      <c r="D13" s="107">
        <v>3.0000000000000001E-3</v>
      </c>
      <c r="E13" s="107" t="s">
        <v>1187</v>
      </c>
      <c r="F13" s="107">
        <f t="shared" si="0"/>
        <v>0.46200000000000002</v>
      </c>
      <c r="H13" s="110"/>
    </row>
    <row r="14" spans="1:8" ht="11" customHeight="1">
      <c r="A14" s="121">
        <v>5</v>
      </c>
      <c r="B14" s="120" t="s">
        <v>1144</v>
      </c>
      <c r="C14" s="119" t="s">
        <v>1140</v>
      </c>
      <c r="D14" s="107" t="s">
        <v>1142</v>
      </c>
      <c r="E14" s="107">
        <v>1.4</v>
      </c>
      <c r="F14" s="107">
        <f t="shared" si="0"/>
        <v>1.4</v>
      </c>
      <c r="H14" s="110"/>
    </row>
    <row r="15" spans="1:8" ht="11" customHeight="1">
      <c r="A15" s="121">
        <v>6</v>
      </c>
      <c r="B15" s="120" t="s">
        <v>1186</v>
      </c>
      <c r="C15" s="119" t="s">
        <v>1140</v>
      </c>
      <c r="D15" s="107" t="s">
        <v>1142</v>
      </c>
      <c r="E15" s="107"/>
      <c r="F15" s="107">
        <f t="shared" si="0"/>
        <v>0</v>
      </c>
      <c r="H15" s="110"/>
    </row>
    <row r="16" spans="1:8" ht="11" customHeight="1">
      <c r="A16" s="121">
        <v>7</v>
      </c>
      <c r="B16" s="120" t="s">
        <v>1185</v>
      </c>
      <c r="C16" s="119" t="s">
        <v>1140</v>
      </c>
      <c r="D16" s="107" t="s">
        <v>1108</v>
      </c>
      <c r="E16" s="107">
        <v>0.92</v>
      </c>
      <c r="F16" s="107">
        <f t="shared" si="0"/>
        <v>3.68</v>
      </c>
    </row>
    <row r="17" spans="1:8" ht="11" customHeight="1">
      <c r="A17" s="121">
        <v>8</v>
      </c>
      <c r="B17" s="120" t="s">
        <v>1251</v>
      </c>
      <c r="C17" s="119" t="s">
        <v>1140</v>
      </c>
      <c r="D17" s="107" t="s">
        <v>1108</v>
      </c>
      <c r="E17" s="107">
        <v>0.24</v>
      </c>
      <c r="F17" s="107">
        <f t="shared" si="0"/>
        <v>0.96</v>
      </c>
    </row>
    <row r="18" spans="1:8" ht="11" customHeight="1">
      <c r="A18" s="121">
        <v>9</v>
      </c>
      <c r="B18" s="120" t="s">
        <v>1184</v>
      </c>
      <c r="C18" s="119" t="s">
        <v>1140</v>
      </c>
      <c r="D18" s="107" t="s">
        <v>1142</v>
      </c>
      <c r="E18" s="107"/>
      <c r="F18" s="107">
        <f t="shared" si="0"/>
        <v>0</v>
      </c>
    </row>
    <row r="19" spans="1:8" ht="11" customHeight="1">
      <c r="A19" s="121">
        <v>10</v>
      </c>
      <c r="B19" s="120" t="s">
        <v>1183</v>
      </c>
      <c r="C19" s="119" t="s">
        <v>1120</v>
      </c>
      <c r="D19" s="107">
        <v>1.4E-2</v>
      </c>
      <c r="E19" s="107">
        <v>133.33000000000001</v>
      </c>
      <c r="F19" s="107">
        <f t="shared" si="0"/>
        <v>1.8666200000000002</v>
      </c>
      <c r="H19" s="110"/>
    </row>
    <row r="20" spans="1:8" ht="11" customHeight="1">
      <c r="A20" s="121">
        <v>11</v>
      </c>
      <c r="B20" s="120" t="s">
        <v>1182</v>
      </c>
      <c r="C20" s="119" t="s">
        <v>1181</v>
      </c>
      <c r="D20" s="107" t="s">
        <v>1142</v>
      </c>
      <c r="E20" s="107">
        <v>537.5</v>
      </c>
      <c r="F20" s="107">
        <f t="shared" si="0"/>
        <v>537.5</v>
      </c>
      <c r="H20" s="110"/>
    </row>
    <row r="21" spans="1:8" ht="11" customHeight="1">
      <c r="A21" s="121">
        <v>12</v>
      </c>
      <c r="B21" s="120" t="s">
        <v>1135</v>
      </c>
      <c r="C21" s="119" t="s">
        <v>1120</v>
      </c>
      <c r="D21" s="107">
        <v>0.38800000000000001</v>
      </c>
      <c r="E21" s="107">
        <v>202.75</v>
      </c>
      <c r="F21" s="107">
        <f t="shared" si="0"/>
        <v>78.667000000000002</v>
      </c>
      <c r="H21" s="110"/>
    </row>
    <row r="22" spans="1:8" ht="11" customHeight="1">
      <c r="A22" s="121">
        <v>13</v>
      </c>
      <c r="B22" s="120" t="s">
        <v>1243</v>
      </c>
      <c r="C22" s="119" t="s">
        <v>1120</v>
      </c>
      <c r="D22" s="107">
        <v>1.714</v>
      </c>
      <c r="E22" s="107">
        <v>69.58</v>
      </c>
      <c r="F22" s="107">
        <f t="shared" si="0"/>
        <v>119.26012</v>
      </c>
      <c r="H22" s="110"/>
    </row>
    <row r="23" spans="1:8" ht="11" customHeight="1">
      <c r="A23" s="121">
        <v>14</v>
      </c>
      <c r="B23" s="120" t="s">
        <v>1180</v>
      </c>
      <c r="C23" s="119" t="s">
        <v>1140</v>
      </c>
      <c r="D23" s="107">
        <v>0.17499999999999999</v>
      </c>
      <c r="E23" s="107">
        <v>64.680000000000007</v>
      </c>
      <c r="F23" s="107">
        <f t="shared" si="0"/>
        <v>11.319000000000001</v>
      </c>
      <c r="H23" s="110"/>
    </row>
    <row r="24" spans="1:8" ht="11" customHeight="1">
      <c r="A24" s="121">
        <v>15</v>
      </c>
      <c r="B24" s="120" t="s">
        <v>1179</v>
      </c>
      <c r="C24" s="119" t="s">
        <v>1140</v>
      </c>
      <c r="D24" s="107">
        <v>1.4E-2</v>
      </c>
      <c r="E24" s="107">
        <v>1000</v>
      </c>
      <c r="F24" s="107">
        <f t="shared" si="0"/>
        <v>14</v>
      </c>
      <c r="H24" s="110"/>
    </row>
    <row r="25" spans="1:8" ht="11" customHeight="1">
      <c r="A25" s="121">
        <v>16</v>
      </c>
      <c r="B25" s="120" t="s">
        <v>1244</v>
      </c>
      <c r="C25" s="119" t="s">
        <v>1120</v>
      </c>
      <c r="D25" s="107">
        <v>0.21099999999999999</v>
      </c>
      <c r="E25" s="107">
        <v>158.33000000000001</v>
      </c>
      <c r="F25" s="107">
        <f t="shared" si="0"/>
        <v>33.407630000000005</v>
      </c>
      <c r="H25" s="110"/>
    </row>
    <row r="26" spans="1:8" ht="11" customHeight="1">
      <c r="A26" s="121">
        <v>17</v>
      </c>
      <c r="B26" s="120" t="s">
        <v>1178</v>
      </c>
      <c r="C26" s="119" t="s">
        <v>1177</v>
      </c>
      <c r="D26" s="107">
        <v>0.11</v>
      </c>
      <c r="E26" s="107">
        <v>638.33000000000004</v>
      </c>
      <c r="F26" s="107">
        <f t="shared" si="0"/>
        <v>70.216300000000004</v>
      </c>
      <c r="H26" s="110"/>
    </row>
    <row r="27" spans="1:8" ht="11" customHeight="1">
      <c r="A27" s="121">
        <v>18</v>
      </c>
      <c r="B27" s="120" t="s">
        <v>1246</v>
      </c>
      <c r="C27" s="119" t="s">
        <v>1120</v>
      </c>
      <c r="D27" s="107">
        <v>1.5740000000000001</v>
      </c>
      <c r="E27" s="107">
        <v>69.17</v>
      </c>
      <c r="F27" s="107">
        <f t="shared" si="0"/>
        <v>108.87358</v>
      </c>
      <c r="H27" s="122"/>
    </row>
    <row r="28" spans="1:8" ht="11" customHeight="1">
      <c r="A28" s="121">
        <v>19</v>
      </c>
      <c r="B28" s="120" t="s">
        <v>1252</v>
      </c>
      <c r="C28" s="119" t="s">
        <v>1120</v>
      </c>
      <c r="D28" s="107">
        <v>4.0000000000000001E-3</v>
      </c>
      <c r="E28" s="107">
        <v>85.83</v>
      </c>
      <c r="F28" s="107">
        <f t="shared" si="0"/>
        <v>0.34332000000000001</v>
      </c>
      <c r="H28" s="110"/>
    </row>
    <row r="29" spans="1:8" ht="11" customHeight="1">
      <c r="A29" s="121">
        <v>20</v>
      </c>
      <c r="B29" s="120" t="s">
        <v>1245</v>
      </c>
      <c r="C29" s="119" t="s">
        <v>1120</v>
      </c>
      <c r="D29" s="107">
        <v>6.6040000000000001</v>
      </c>
      <c r="E29" s="107">
        <v>69.17</v>
      </c>
      <c r="F29" s="107">
        <f t="shared" si="0"/>
        <v>456.79867999999999</v>
      </c>
      <c r="H29" s="110"/>
    </row>
    <row r="30" spans="1:8" ht="11" customHeight="1">
      <c r="A30" s="121">
        <v>21</v>
      </c>
      <c r="B30" s="120" t="s">
        <v>1176</v>
      </c>
      <c r="C30" s="119" t="s">
        <v>1140</v>
      </c>
      <c r="D30" s="107" t="s">
        <v>1142</v>
      </c>
      <c r="E30" s="107">
        <v>18.95</v>
      </c>
      <c r="F30" s="107">
        <f t="shared" si="0"/>
        <v>18.95</v>
      </c>
      <c r="H30" s="110"/>
    </row>
    <row r="31" spans="1:8" ht="11" customHeight="1">
      <c r="A31" s="121">
        <v>22</v>
      </c>
      <c r="B31" s="120" t="s">
        <v>1121</v>
      </c>
      <c r="C31" s="119" t="s">
        <v>1120</v>
      </c>
      <c r="D31" s="107">
        <v>1.0999999999999999E-2</v>
      </c>
      <c r="E31" s="107">
        <v>290</v>
      </c>
      <c r="F31" s="107">
        <f t="shared" si="0"/>
        <v>3.19</v>
      </c>
      <c r="H31" s="110"/>
    </row>
    <row r="32" spans="1:8" ht="11" customHeight="1">
      <c r="A32" s="118"/>
      <c r="B32" s="105" t="s">
        <v>1118</v>
      </c>
      <c r="C32" s="105"/>
      <c r="D32" s="105"/>
      <c r="E32" s="105"/>
      <c r="F32" s="114">
        <f>SUM(F10:F31)</f>
        <v>1553.5426199999999</v>
      </c>
      <c r="H32" s="110"/>
    </row>
    <row r="33" spans="1:8" ht="17.25" customHeight="1">
      <c r="A33" s="117"/>
      <c r="B33" s="104" t="s">
        <v>1117</v>
      </c>
      <c r="C33" s="104"/>
      <c r="D33" s="104"/>
      <c r="E33" s="108">
        <v>0.01</v>
      </c>
      <c r="F33" s="116">
        <f>F32*E33</f>
        <v>15.5354262</v>
      </c>
      <c r="H33" s="110"/>
    </row>
    <row r="34" spans="1:8" ht="16.5" customHeight="1">
      <c r="A34" s="115"/>
      <c r="B34" s="105" t="s">
        <v>1116</v>
      </c>
      <c r="C34" s="105"/>
      <c r="D34" s="105"/>
      <c r="E34" s="105"/>
      <c r="F34" s="114">
        <f>SUM(F32,F33)</f>
        <v>1569.0780462</v>
      </c>
      <c r="H34" s="112"/>
    </row>
    <row r="35" spans="1:8" ht="16.5" customHeight="1">
      <c r="A35" s="104" t="s">
        <v>1115</v>
      </c>
      <c r="B35" s="104" t="s">
        <v>1114</v>
      </c>
      <c r="C35" s="104"/>
      <c r="D35" s="104"/>
      <c r="E35" s="108">
        <v>0.11</v>
      </c>
      <c r="F35" s="106">
        <f>F34*E35</f>
        <v>172.598585082</v>
      </c>
      <c r="H35" s="113"/>
    </row>
    <row r="36" spans="1:8" ht="14.25" customHeight="1">
      <c r="A36" s="104"/>
      <c r="B36" s="109" t="s">
        <v>1113</v>
      </c>
      <c r="C36" s="104"/>
      <c r="D36" s="104"/>
      <c r="E36" s="108">
        <v>0.14000000000000001</v>
      </c>
      <c r="F36" s="106">
        <f>F35*E36</f>
        <v>24.163801911480004</v>
      </c>
      <c r="H36" s="112"/>
    </row>
    <row r="37" spans="1:8" ht="15" customHeight="1">
      <c r="A37" s="104"/>
      <c r="B37" s="109" t="s">
        <v>1112</v>
      </c>
      <c r="C37" s="104"/>
      <c r="D37" s="104"/>
      <c r="E37" s="111">
        <v>0.309</v>
      </c>
      <c r="F37" s="106">
        <f>(F35+F36)*E37</f>
        <v>60.799577580985314</v>
      </c>
      <c r="H37" s="110"/>
    </row>
    <row r="38" spans="1:8" ht="15" customHeight="1">
      <c r="A38" s="104"/>
      <c r="B38" s="109" t="s">
        <v>1111</v>
      </c>
      <c r="C38" s="104"/>
      <c r="D38" s="104"/>
      <c r="E38" s="107"/>
      <c r="F38" s="106"/>
      <c r="H38" s="110"/>
    </row>
    <row r="39" spans="1:8" ht="19.5" customHeight="1">
      <c r="A39" s="104" t="s">
        <v>1110</v>
      </c>
      <c r="B39" s="109" t="s">
        <v>1109</v>
      </c>
      <c r="C39" s="104"/>
      <c r="D39" s="104"/>
      <c r="E39" s="108">
        <v>1.5</v>
      </c>
      <c r="F39" s="106">
        <f>F35*E39</f>
        <v>258.897877623</v>
      </c>
    </row>
    <row r="40" spans="1:8" ht="18" customHeight="1">
      <c r="A40" s="104" t="s">
        <v>1108</v>
      </c>
      <c r="B40" s="104" t="s">
        <v>1107</v>
      </c>
      <c r="C40" s="104"/>
      <c r="D40" s="104"/>
      <c r="E40" s="107"/>
      <c r="F40" s="106">
        <f>F34+F35+F36+F37+F38+F39</f>
        <v>2085.5378883974654</v>
      </c>
    </row>
    <row r="41" spans="1:8" ht="14.25" customHeight="1">
      <c r="A41" s="104" t="s">
        <v>1106</v>
      </c>
      <c r="B41" s="104" t="s">
        <v>1105</v>
      </c>
      <c r="C41" s="104"/>
      <c r="D41" s="104"/>
      <c r="E41" s="108">
        <v>1</v>
      </c>
      <c r="F41" s="106">
        <f>F35*E41</f>
        <v>172.598585082</v>
      </c>
    </row>
    <row r="42" spans="1:8" ht="14.25" customHeight="1">
      <c r="A42" s="104"/>
      <c r="B42" s="104"/>
      <c r="C42" s="104"/>
      <c r="D42" s="104"/>
      <c r="E42" s="108">
        <v>0.8</v>
      </c>
      <c r="F42" s="106">
        <f>F35*E42</f>
        <v>138.07886806560001</v>
      </c>
    </row>
    <row r="43" spans="1:8" ht="14.25" customHeight="1">
      <c r="A43" s="104" t="s">
        <v>1104</v>
      </c>
      <c r="B43" s="104" t="s">
        <v>1103</v>
      </c>
      <c r="C43" s="104"/>
      <c r="D43" s="104"/>
      <c r="E43" s="107"/>
      <c r="F43" s="106">
        <f>F40+F41</f>
        <v>2258.1364734794652</v>
      </c>
    </row>
    <row r="44" spans="1:8" ht="13.5" customHeight="1">
      <c r="A44" s="104"/>
      <c r="B44" s="104"/>
      <c r="C44" s="104"/>
      <c r="D44" s="104"/>
      <c r="E44" s="107"/>
      <c r="F44" s="106">
        <f>F40+F42</f>
        <v>2223.6167564630655</v>
      </c>
    </row>
    <row r="45" spans="1:8" ht="14.25" customHeight="1">
      <c r="A45" s="104" t="s">
        <v>1102</v>
      </c>
      <c r="B45" s="104" t="s">
        <v>83</v>
      </c>
      <c r="C45" s="104"/>
      <c r="D45" s="104"/>
      <c r="E45" s="108">
        <v>0.4</v>
      </c>
      <c r="F45" s="106">
        <f>F43*E45</f>
        <v>903.25458939178611</v>
      </c>
    </row>
    <row r="46" spans="1:8" ht="12.75" customHeight="1">
      <c r="A46" s="104"/>
      <c r="B46" s="104"/>
      <c r="C46" s="104"/>
      <c r="D46" s="104"/>
      <c r="E46" s="108">
        <v>7.0000000000000007E-2</v>
      </c>
      <c r="F46" s="106">
        <f>F43*E46</f>
        <v>158.06955314356259</v>
      </c>
    </row>
    <row r="47" spans="1:8" ht="14.25" customHeight="1">
      <c r="A47" s="104" t="s">
        <v>1101</v>
      </c>
      <c r="B47" s="104" t="s">
        <v>1100</v>
      </c>
      <c r="C47" s="104"/>
      <c r="D47" s="104"/>
      <c r="E47" s="107"/>
      <c r="F47" s="106">
        <v>114.48</v>
      </c>
    </row>
    <row r="48" spans="1:8" ht="14.25" customHeight="1">
      <c r="A48" s="104"/>
      <c r="B48" s="104" t="s">
        <v>1099</v>
      </c>
      <c r="C48" s="104"/>
      <c r="D48" s="104"/>
      <c r="E48" s="107"/>
      <c r="F48" s="106">
        <f>F43+F45+F47</f>
        <v>3275.8710628712511</v>
      </c>
    </row>
    <row r="49" spans="1:6" ht="12.75" customHeight="1">
      <c r="A49" s="104"/>
      <c r="B49" s="104"/>
      <c r="C49" s="104"/>
      <c r="D49" s="104"/>
      <c r="E49" s="107"/>
      <c r="F49" s="106">
        <f>F44+F46+F47</f>
        <v>2496.1663096066281</v>
      </c>
    </row>
    <row r="50" spans="1:6" ht="13.5" customHeight="1">
      <c r="A50" s="104"/>
      <c r="B50" s="104" t="s">
        <v>1098</v>
      </c>
      <c r="C50" s="104"/>
      <c r="D50" s="104"/>
      <c r="E50" s="108">
        <v>0.22</v>
      </c>
      <c r="F50" s="106">
        <f>F48*E50</f>
        <v>720.69163383167529</v>
      </c>
    </row>
    <row r="51" spans="1:6" ht="13.5" customHeight="1">
      <c r="A51" s="104"/>
      <c r="B51" s="104"/>
      <c r="C51" s="104"/>
      <c r="D51" s="104"/>
      <c r="E51" s="108">
        <v>0.22</v>
      </c>
      <c r="F51" s="106">
        <f>F49*E51</f>
        <v>549.15658811345816</v>
      </c>
    </row>
    <row r="52" spans="1:6" ht="12" customHeight="1">
      <c r="A52" s="104"/>
      <c r="B52" s="105" t="s">
        <v>1097</v>
      </c>
      <c r="C52" s="104"/>
      <c r="D52" s="104"/>
      <c r="E52" s="103" t="s">
        <v>1096</v>
      </c>
      <c r="F52" s="102">
        <f>F48+F50</f>
        <v>3996.5626967029266</v>
      </c>
    </row>
    <row r="53" spans="1:6" ht="12.75" customHeight="1">
      <c r="A53" s="104"/>
      <c r="B53" s="104"/>
      <c r="C53" s="104"/>
      <c r="D53" s="104"/>
      <c r="E53" s="103" t="s">
        <v>1095</v>
      </c>
      <c r="F53" s="102">
        <f>F49+F51</f>
        <v>3045.3228977200861</v>
      </c>
    </row>
    <row r="54" spans="1:6" ht="11" customHeight="1"/>
    <row r="55" spans="1:6" ht="11" customHeight="1"/>
    <row r="56" spans="1:6" ht="11" customHeight="1">
      <c r="B56" s="101" t="s">
        <v>1094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pageOrder="overThenDown"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  <pageSetUpPr autoPageBreaks="0"/>
  </sheetPr>
  <dimension ref="A1:H48"/>
  <sheetViews>
    <sheetView topLeftCell="A4" zoomScale="110" zoomScaleNormal="110" workbookViewId="0">
      <selection activeCell="F45" sqref="F45"/>
    </sheetView>
  </sheetViews>
  <sheetFormatPr baseColWidth="10" defaultColWidth="9" defaultRowHeight="11.5" customHeight="1"/>
  <cols>
    <col min="1" max="1" width="5.5" style="73" customWidth="1"/>
    <col min="2" max="2" width="42.1640625" style="73" customWidth="1"/>
    <col min="3" max="3" width="12.5" style="73" customWidth="1"/>
    <col min="4" max="4" width="8.5" style="73" customWidth="1"/>
    <col min="5" max="5" width="9.5" style="73" customWidth="1"/>
    <col min="6" max="6" width="14.1640625" style="73" customWidth="1"/>
    <col min="7" max="7" width="9" style="72"/>
    <col min="8" max="8" width="10.6640625" style="72" customWidth="1"/>
    <col min="9" max="16384" width="9" style="72"/>
  </cols>
  <sheetData>
    <row r="1" spans="1:8" ht="11" customHeight="1">
      <c r="F1" s="97" t="s">
        <v>1161</v>
      </c>
    </row>
    <row r="2" spans="1:8" ht="11" customHeight="1">
      <c r="F2" s="97" t="s">
        <v>1160</v>
      </c>
    </row>
    <row r="3" spans="1:8" ht="11" customHeight="1">
      <c r="F3" s="97" t="s">
        <v>1159</v>
      </c>
    </row>
    <row r="4" spans="1:8" ht="11" customHeight="1">
      <c r="F4" s="97" t="s">
        <v>1158</v>
      </c>
    </row>
    <row r="5" spans="1:8" ht="16" customHeight="1">
      <c r="A5" s="96" t="s">
        <v>1157</v>
      </c>
      <c r="F5" s="95" t="s">
        <v>1156</v>
      </c>
    </row>
    <row r="6" spans="1:8" ht="11" customHeight="1"/>
    <row r="7" spans="1:8" ht="13" customHeight="1">
      <c r="A7" s="353" t="s">
        <v>113</v>
      </c>
      <c r="B7" s="353"/>
      <c r="C7" s="353"/>
      <c r="D7" s="353"/>
      <c r="E7" s="353"/>
      <c r="F7" s="353"/>
    </row>
    <row r="8" spans="1:8" s="94" customFormat="1" ht="3" customHeight="1"/>
    <row r="9" spans="1:8" ht="11" customHeight="1">
      <c r="A9" s="79" t="s">
        <v>1154</v>
      </c>
      <c r="B9" s="79" t="s">
        <v>1153</v>
      </c>
      <c r="C9" s="79" t="s">
        <v>1152</v>
      </c>
      <c r="D9" s="79" t="s">
        <v>1151</v>
      </c>
      <c r="E9" s="79" t="s">
        <v>1239</v>
      </c>
      <c r="F9" s="79" t="s">
        <v>1240</v>
      </c>
      <c r="H9" s="110"/>
    </row>
    <row r="10" spans="1:8" ht="23" customHeight="1">
      <c r="A10" s="121">
        <v>1</v>
      </c>
      <c r="B10" s="120" t="s">
        <v>1241</v>
      </c>
      <c r="C10" s="119" t="s">
        <v>1191</v>
      </c>
      <c r="D10" s="107">
        <v>8.9999999999999993E-3</v>
      </c>
      <c r="E10" s="107">
        <v>616.66999999999996</v>
      </c>
      <c r="F10" s="116">
        <f t="shared" ref="F10:F23" si="0">E10*D10</f>
        <v>5.5500299999999996</v>
      </c>
      <c r="H10" s="110"/>
    </row>
    <row r="11" spans="1:8" ht="23" customHeight="1">
      <c r="A11" s="121">
        <v>2</v>
      </c>
      <c r="B11" s="120" t="s">
        <v>1242</v>
      </c>
      <c r="C11" s="119" t="s">
        <v>1191</v>
      </c>
      <c r="D11" s="107">
        <v>1E-3</v>
      </c>
      <c r="E11" s="107">
        <v>468.33</v>
      </c>
      <c r="F11" s="116">
        <f t="shared" si="0"/>
        <v>0.46832999999999997</v>
      </c>
      <c r="H11" s="110"/>
    </row>
    <row r="12" spans="1:8" ht="11" customHeight="1">
      <c r="A12" s="121">
        <v>3</v>
      </c>
      <c r="B12" s="120" t="s">
        <v>1188</v>
      </c>
      <c r="C12" s="119" t="s">
        <v>1120</v>
      </c>
      <c r="D12" s="107">
        <v>3.0000000000000001E-3</v>
      </c>
      <c r="E12" s="107" t="s">
        <v>1187</v>
      </c>
      <c r="F12" s="116">
        <f t="shared" si="0"/>
        <v>0.46200000000000002</v>
      </c>
      <c r="H12" s="110"/>
    </row>
    <row r="13" spans="1:8" ht="11" customHeight="1">
      <c r="A13" s="121">
        <v>4</v>
      </c>
      <c r="B13" s="120" t="s">
        <v>1144</v>
      </c>
      <c r="C13" s="119" t="s">
        <v>1140</v>
      </c>
      <c r="D13" s="107" t="s">
        <v>1142</v>
      </c>
      <c r="E13" s="107">
        <v>1.4</v>
      </c>
      <c r="F13" s="116">
        <f t="shared" si="0"/>
        <v>1.4</v>
      </c>
      <c r="H13" s="110"/>
    </row>
    <row r="14" spans="1:8" ht="11" customHeight="1">
      <c r="A14" s="121">
        <v>5</v>
      </c>
      <c r="B14" s="120" t="s">
        <v>1186</v>
      </c>
      <c r="C14" s="119" t="s">
        <v>1140</v>
      </c>
      <c r="D14" s="107" t="s">
        <v>1142</v>
      </c>
      <c r="E14" s="107"/>
      <c r="F14" s="116">
        <f t="shared" si="0"/>
        <v>0</v>
      </c>
      <c r="H14" s="110"/>
    </row>
    <row r="15" spans="1:8" ht="11" customHeight="1">
      <c r="A15" s="121">
        <v>6</v>
      </c>
      <c r="B15" s="120" t="s">
        <v>1193</v>
      </c>
      <c r="C15" s="119" t="s">
        <v>1140</v>
      </c>
      <c r="D15" s="107" t="s">
        <v>1142</v>
      </c>
      <c r="E15" s="107">
        <v>495</v>
      </c>
      <c r="F15" s="116">
        <f t="shared" si="0"/>
        <v>495</v>
      </c>
      <c r="H15" s="110"/>
    </row>
    <row r="16" spans="1:8" ht="11" customHeight="1">
      <c r="A16" s="121">
        <v>7</v>
      </c>
      <c r="B16" s="120" t="s">
        <v>1184</v>
      </c>
      <c r="C16" s="119" t="s">
        <v>1140</v>
      </c>
      <c r="D16" s="107" t="s">
        <v>1142</v>
      </c>
      <c r="E16" s="107"/>
      <c r="F16" s="116">
        <f t="shared" si="0"/>
        <v>0</v>
      </c>
      <c r="H16" s="110"/>
    </row>
    <row r="17" spans="1:8" ht="11" customHeight="1">
      <c r="A17" s="121">
        <v>8</v>
      </c>
      <c r="B17" s="120" t="s">
        <v>1183</v>
      </c>
      <c r="C17" s="119" t="s">
        <v>1120</v>
      </c>
      <c r="D17" s="107">
        <v>1.4E-2</v>
      </c>
      <c r="E17" s="107">
        <v>133.33000000000001</v>
      </c>
      <c r="F17" s="116">
        <f t="shared" si="0"/>
        <v>1.8666200000000002</v>
      </c>
      <c r="H17" s="110"/>
    </row>
    <row r="18" spans="1:8" ht="11" customHeight="1">
      <c r="A18" s="121">
        <v>9</v>
      </c>
      <c r="B18" s="120" t="s">
        <v>1135</v>
      </c>
      <c r="C18" s="119" t="s">
        <v>1120</v>
      </c>
      <c r="D18" s="107">
        <v>0.378</v>
      </c>
      <c r="E18" s="107">
        <v>202.75</v>
      </c>
      <c r="F18" s="116">
        <f t="shared" si="0"/>
        <v>76.639499999999998</v>
      </c>
      <c r="H18" s="110"/>
    </row>
    <row r="19" spans="1:8" ht="11" customHeight="1">
      <c r="A19" s="121">
        <v>10</v>
      </c>
      <c r="B19" s="120" t="s">
        <v>1243</v>
      </c>
      <c r="C19" s="119" t="s">
        <v>1120</v>
      </c>
      <c r="D19" s="107">
        <v>1.6040000000000001</v>
      </c>
      <c r="E19" s="107">
        <v>69.58</v>
      </c>
      <c r="F19" s="116">
        <f t="shared" si="0"/>
        <v>111.60632</v>
      </c>
      <c r="H19" s="110"/>
    </row>
    <row r="20" spans="1:8" ht="11" customHeight="1">
      <c r="A20" s="121">
        <v>11</v>
      </c>
      <c r="B20" s="120" t="s">
        <v>1176</v>
      </c>
      <c r="C20" s="119" t="s">
        <v>1140</v>
      </c>
      <c r="D20" s="107" t="s">
        <v>1142</v>
      </c>
      <c r="E20" s="107">
        <v>18.95</v>
      </c>
      <c r="F20" s="116">
        <f t="shared" si="0"/>
        <v>18.95</v>
      </c>
      <c r="H20" s="110"/>
    </row>
    <row r="21" spans="1:8" ht="11" customHeight="1">
      <c r="A21" s="121">
        <v>12</v>
      </c>
      <c r="B21" s="120" t="s">
        <v>1245</v>
      </c>
      <c r="C21" s="119" t="s">
        <v>1120</v>
      </c>
      <c r="D21" s="107">
        <v>6.327</v>
      </c>
      <c r="E21" s="107">
        <v>69.17</v>
      </c>
      <c r="F21" s="116">
        <f t="shared" si="0"/>
        <v>437.63859000000002</v>
      </c>
      <c r="H21" s="110"/>
    </row>
    <row r="22" spans="1:8" ht="11" customHeight="1">
      <c r="A22" s="121">
        <v>13</v>
      </c>
      <c r="B22" s="120" t="s">
        <v>1246</v>
      </c>
      <c r="C22" s="119" t="s">
        <v>1120</v>
      </c>
      <c r="D22" s="107">
        <v>1.512</v>
      </c>
      <c r="E22" s="107">
        <v>69.17</v>
      </c>
      <c r="F22" s="116">
        <f t="shared" si="0"/>
        <v>104.58504000000001</v>
      </c>
      <c r="H22" s="110"/>
    </row>
    <row r="23" spans="1:8" ht="11" customHeight="1">
      <c r="A23" s="121">
        <v>14</v>
      </c>
      <c r="B23" s="120" t="s">
        <v>1121</v>
      </c>
      <c r="C23" s="119" t="s">
        <v>1120</v>
      </c>
      <c r="D23" s="107">
        <v>0.01</v>
      </c>
      <c r="E23" s="107">
        <v>290</v>
      </c>
      <c r="F23" s="116">
        <f t="shared" si="0"/>
        <v>2.9</v>
      </c>
      <c r="H23" s="122"/>
    </row>
    <row r="24" spans="1:8" ht="15" customHeight="1">
      <c r="A24" s="85"/>
      <c r="B24" s="77" t="s">
        <v>1118</v>
      </c>
      <c r="C24" s="77"/>
      <c r="D24" s="77"/>
      <c r="E24" s="77"/>
      <c r="F24" s="129">
        <f>SUM(F10:F23)</f>
        <v>1257.0664300000001</v>
      </c>
      <c r="H24" s="110"/>
    </row>
    <row r="25" spans="1:8" ht="16.5" customHeight="1">
      <c r="A25" s="84"/>
      <c r="B25" s="76" t="s">
        <v>1117</v>
      </c>
      <c r="C25" s="76"/>
      <c r="D25" s="76"/>
      <c r="E25" s="80">
        <v>0.01</v>
      </c>
      <c r="F25" s="130">
        <f>F24*E25</f>
        <v>12.570664300000001</v>
      </c>
      <c r="H25" s="110"/>
    </row>
    <row r="26" spans="1:8" ht="15" customHeight="1">
      <c r="A26" s="83"/>
      <c r="B26" s="77" t="s">
        <v>1116</v>
      </c>
      <c r="C26" s="77"/>
      <c r="D26" s="77"/>
      <c r="E26" s="77"/>
      <c r="F26" s="129">
        <f>SUM(F24,F25)</f>
        <v>1269.6370943000002</v>
      </c>
      <c r="H26" s="110"/>
    </row>
    <row r="27" spans="1:8" ht="17.25" customHeight="1">
      <c r="A27" s="76" t="s">
        <v>1115</v>
      </c>
      <c r="B27" s="76" t="s">
        <v>1114</v>
      </c>
      <c r="C27" s="76"/>
      <c r="D27" s="76"/>
      <c r="E27" s="80">
        <v>0.11</v>
      </c>
      <c r="F27" s="128">
        <f>F26*E27</f>
        <v>139.66008037300003</v>
      </c>
      <c r="H27" s="110"/>
    </row>
    <row r="28" spans="1:8" ht="15.75" customHeight="1">
      <c r="A28" s="76"/>
      <c r="B28" s="81" t="s">
        <v>1113</v>
      </c>
      <c r="C28" s="76"/>
      <c r="D28" s="76"/>
      <c r="E28" s="80">
        <v>0.14000000000000001</v>
      </c>
      <c r="F28" s="128">
        <f>F27*E28</f>
        <v>19.552411252220004</v>
      </c>
      <c r="H28" s="110"/>
    </row>
    <row r="29" spans="1:8" ht="14.25" customHeight="1">
      <c r="A29" s="76"/>
      <c r="B29" s="81" t="s">
        <v>1112</v>
      </c>
      <c r="C29" s="76"/>
      <c r="D29" s="76"/>
      <c r="E29" s="82">
        <v>0.309</v>
      </c>
      <c r="F29" s="128">
        <f>(F27+F28)*E29</f>
        <v>49.196659912192985</v>
      </c>
      <c r="H29" s="110"/>
    </row>
    <row r="30" spans="1:8" ht="14.25" customHeight="1">
      <c r="A30" s="76"/>
      <c r="B30" s="81" t="s">
        <v>1111</v>
      </c>
      <c r="C30" s="76"/>
      <c r="D30" s="76"/>
      <c r="E30" s="79"/>
      <c r="F30" s="128"/>
      <c r="H30" s="112"/>
    </row>
    <row r="31" spans="1:8" ht="13.5" customHeight="1">
      <c r="A31" s="76" t="s">
        <v>1110</v>
      </c>
      <c r="B31" s="81" t="s">
        <v>1109</v>
      </c>
      <c r="C31" s="76"/>
      <c r="D31" s="76"/>
      <c r="E31" s="80">
        <v>1.5</v>
      </c>
      <c r="F31" s="128">
        <f>F27*E31</f>
        <v>209.49012055950004</v>
      </c>
      <c r="H31" s="113"/>
    </row>
    <row r="32" spans="1:8" ht="15" customHeight="1">
      <c r="A32" s="76" t="s">
        <v>1108</v>
      </c>
      <c r="B32" s="76" t="s">
        <v>1107</v>
      </c>
      <c r="C32" s="76"/>
      <c r="D32" s="76"/>
      <c r="E32" s="79"/>
      <c r="F32" s="128">
        <f>F26+F27+F28+F29+F30+F31</f>
        <v>1687.5363663969133</v>
      </c>
      <c r="H32" s="112"/>
    </row>
    <row r="33" spans="1:8" ht="15" customHeight="1">
      <c r="A33" s="76" t="s">
        <v>1106</v>
      </c>
      <c r="B33" s="76" t="s">
        <v>1105</v>
      </c>
      <c r="C33" s="76"/>
      <c r="D33" s="76"/>
      <c r="E33" s="80">
        <v>1</v>
      </c>
      <c r="F33" s="128">
        <f>F27*E33</f>
        <v>139.66008037300003</v>
      </c>
      <c r="H33" s="110"/>
    </row>
    <row r="34" spans="1:8" ht="13.5" customHeight="1">
      <c r="A34" s="76"/>
      <c r="B34" s="76"/>
      <c r="C34" s="76"/>
      <c r="D34" s="76"/>
      <c r="E34" s="80">
        <v>0.8</v>
      </c>
      <c r="F34" s="128">
        <f>F27*E34</f>
        <v>111.72806429840003</v>
      </c>
      <c r="H34" s="110"/>
    </row>
    <row r="35" spans="1:8" ht="13.5" customHeight="1">
      <c r="A35" s="76" t="s">
        <v>1104</v>
      </c>
      <c r="B35" s="76" t="s">
        <v>1103</v>
      </c>
      <c r="C35" s="76"/>
      <c r="D35" s="76"/>
      <c r="E35" s="79"/>
      <c r="F35" s="128">
        <f>F32+F33</f>
        <v>1827.1964467699133</v>
      </c>
      <c r="H35" s="110"/>
    </row>
    <row r="36" spans="1:8" ht="14.25" customHeight="1">
      <c r="A36" s="76"/>
      <c r="B36" s="76"/>
      <c r="C36" s="76"/>
      <c r="D36" s="76"/>
      <c r="E36" s="79"/>
      <c r="F36" s="128">
        <f>F32+F34</f>
        <v>1799.2644306953134</v>
      </c>
    </row>
    <row r="37" spans="1:8" ht="14.25" customHeight="1">
      <c r="A37" s="76" t="s">
        <v>1102</v>
      </c>
      <c r="B37" s="76" t="s">
        <v>83</v>
      </c>
      <c r="C37" s="76"/>
      <c r="D37" s="76"/>
      <c r="E37" s="80">
        <v>0.4</v>
      </c>
      <c r="F37" s="128">
        <f>F35*E37</f>
        <v>730.8785787079654</v>
      </c>
    </row>
    <row r="38" spans="1:8" ht="15" customHeight="1">
      <c r="A38" s="76"/>
      <c r="B38" s="76"/>
      <c r="C38" s="76"/>
      <c r="D38" s="76"/>
      <c r="E38" s="80">
        <v>7.0000000000000007E-2</v>
      </c>
      <c r="F38" s="128">
        <f>F35*E38</f>
        <v>127.90375127389395</v>
      </c>
    </row>
    <row r="39" spans="1:8" ht="11" customHeight="1">
      <c r="A39" s="76" t="s">
        <v>1101</v>
      </c>
      <c r="B39" s="76" t="s">
        <v>1100</v>
      </c>
      <c r="C39" s="76"/>
      <c r="D39" s="76"/>
      <c r="E39" s="79"/>
      <c r="F39" s="128">
        <v>122.56</v>
      </c>
    </row>
    <row r="40" spans="1:8" ht="20.25" customHeight="1">
      <c r="A40" s="76"/>
      <c r="B40" s="76" t="s">
        <v>1099</v>
      </c>
      <c r="C40" s="76"/>
      <c r="D40" s="76"/>
      <c r="E40" s="79"/>
      <c r="F40" s="128">
        <f>F35+F37+F39</f>
        <v>2680.6350254778786</v>
      </c>
    </row>
    <row r="41" spans="1:8" ht="11" customHeight="1">
      <c r="A41" s="76"/>
      <c r="B41" s="76"/>
      <c r="C41" s="76"/>
      <c r="D41" s="76"/>
      <c r="E41" s="79"/>
      <c r="F41" s="128">
        <f>F36+F38+F39</f>
        <v>2049.7281819692075</v>
      </c>
    </row>
    <row r="42" spans="1:8" ht="11" customHeight="1">
      <c r="A42" s="76"/>
      <c r="B42" s="76" t="s">
        <v>1098</v>
      </c>
      <c r="C42" s="76"/>
      <c r="D42" s="76"/>
      <c r="E42" s="80">
        <v>0.22</v>
      </c>
      <c r="F42" s="128">
        <f>F40*E42</f>
        <v>589.73970560513328</v>
      </c>
    </row>
    <row r="43" spans="1:8" ht="11" customHeight="1">
      <c r="A43" s="76"/>
      <c r="B43" s="76"/>
      <c r="C43" s="76"/>
      <c r="D43" s="76"/>
      <c r="E43" s="80">
        <v>0.22</v>
      </c>
      <c r="F43" s="128">
        <f>F41*E43</f>
        <v>450.94020003322566</v>
      </c>
    </row>
    <row r="44" spans="1:8" ht="11" customHeight="1">
      <c r="A44" s="76"/>
      <c r="B44" s="77" t="s">
        <v>1097</v>
      </c>
      <c r="C44" s="76"/>
      <c r="D44" s="76"/>
      <c r="E44" s="75" t="s">
        <v>1096</v>
      </c>
      <c r="F44" s="127">
        <f>F40+F42</f>
        <v>3270.3747310830117</v>
      </c>
    </row>
    <row r="45" spans="1:8" ht="11" customHeight="1">
      <c r="A45" s="76"/>
      <c r="B45" s="76"/>
      <c r="C45" s="76"/>
      <c r="D45" s="76"/>
      <c r="E45" s="75" t="s">
        <v>1095</v>
      </c>
      <c r="F45" s="127">
        <f>F41+F43</f>
        <v>2500.6683820024332</v>
      </c>
    </row>
    <row r="46" spans="1:8" s="73" customFormat="1" ht="11" customHeight="1"/>
    <row r="47" spans="1:8" s="73" customFormat="1" ht="11" customHeight="1"/>
    <row r="48" spans="1:8" s="73" customFormat="1" ht="11" customHeight="1">
      <c r="B48" s="73" t="s">
        <v>1094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pageOrder="overThenDown"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  <pageSetUpPr autoPageBreaks="0"/>
  </sheetPr>
  <dimension ref="A1:H53"/>
  <sheetViews>
    <sheetView topLeftCell="A13" workbookViewId="0">
      <selection activeCell="E48" sqref="E48"/>
    </sheetView>
  </sheetViews>
  <sheetFormatPr baseColWidth="10" defaultColWidth="9" defaultRowHeight="11.5" customHeight="1"/>
  <cols>
    <col min="1" max="1" width="5.5" style="101" customWidth="1"/>
    <col min="2" max="2" width="42.1640625" style="101" customWidth="1"/>
    <col min="3" max="3" width="12.5" style="101" customWidth="1"/>
    <col min="4" max="4" width="8.5" style="101" customWidth="1"/>
    <col min="5" max="5" width="9.5" style="101" customWidth="1"/>
    <col min="6" max="6" width="14.1640625" style="101" customWidth="1"/>
    <col min="7" max="7" width="9" style="100"/>
    <col min="8" max="8" width="12.1640625" style="100" customWidth="1"/>
    <col min="9" max="16384" width="9" style="100"/>
  </cols>
  <sheetData>
    <row r="1" spans="1:8" ht="11" customHeight="1">
      <c r="F1" s="126" t="s">
        <v>1161</v>
      </c>
    </row>
    <row r="2" spans="1:8" ht="11" customHeight="1">
      <c r="F2" s="126" t="s">
        <v>1160</v>
      </c>
    </row>
    <row r="3" spans="1:8" ht="11" customHeight="1">
      <c r="F3" s="126" t="s">
        <v>1159</v>
      </c>
    </row>
    <row r="4" spans="1:8" ht="11" customHeight="1">
      <c r="F4" s="126" t="s">
        <v>1158</v>
      </c>
    </row>
    <row r="5" spans="1:8" ht="16" customHeight="1">
      <c r="A5" s="125" t="s">
        <v>1157</v>
      </c>
      <c r="F5" s="124" t="s">
        <v>1156</v>
      </c>
    </row>
    <row r="6" spans="1:8" ht="11" customHeight="1"/>
    <row r="7" spans="1:8" ht="13" customHeight="1">
      <c r="A7" s="358" t="s">
        <v>112</v>
      </c>
      <c r="B7" s="358"/>
      <c r="C7" s="358"/>
      <c r="D7" s="358"/>
      <c r="E7" s="358"/>
      <c r="F7" s="358"/>
    </row>
    <row r="8" spans="1:8" s="123" customFormat="1" ht="3" customHeight="1"/>
    <row r="9" spans="1:8" ht="11" customHeight="1">
      <c r="A9" s="107" t="s">
        <v>1154</v>
      </c>
      <c r="B9" s="107" t="s">
        <v>1153</v>
      </c>
      <c r="C9" s="107" t="s">
        <v>1152</v>
      </c>
      <c r="D9" s="107" t="s">
        <v>1151</v>
      </c>
      <c r="E9" s="107" t="s">
        <v>1239</v>
      </c>
      <c r="F9" s="107" t="s">
        <v>1240</v>
      </c>
      <c r="H9" s="110"/>
    </row>
    <row r="10" spans="1:8" ht="23" customHeight="1">
      <c r="A10" s="121">
        <v>1</v>
      </c>
      <c r="B10" s="120" t="s">
        <v>1241</v>
      </c>
      <c r="C10" s="119" t="s">
        <v>1191</v>
      </c>
      <c r="D10" s="107">
        <v>0.01</v>
      </c>
      <c r="E10" s="107">
        <v>616.66999999999996</v>
      </c>
      <c r="F10" s="107">
        <f t="shared" ref="F10:F28" si="0">E10*D10</f>
        <v>6.1666999999999996</v>
      </c>
      <c r="H10" s="110"/>
    </row>
    <row r="11" spans="1:8" ht="23" customHeight="1">
      <c r="A11" s="121">
        <v>2</v>
      </c>
      <c r="B11" s="120" t="s">
        <v>1242</v>
      </c>
      <c r="C11" s="119" t="s">
        <v>1191</v>
      </c>
      <c r="D11" s="107">
        <v>1E-3</v>
      </c>
      <c r="E11" s="107">
        <v>468.33</v>
      </c>
      <c r="F11" s="107">
        <f t="shared" si="0"/>
        <v>0.46832999999999997</v>
      </c>
      <c r="H11" s="110"/>
    </row>
    <row r="12" spans="1:8" ht="23" customHeight="1">
      <c r="A12" s="121">
        <v>3</v>
      </c>
      <c r="B12" s="120" t="s">
        <v>1190</v>
      </c>
      <c r="C12" s="119" t="s">
        <v>1189</v>
      </c>
      <c r="D12" s="107" t="s">
        <v>1142</v>
      </c>
      <c r="E12" s="107">
        <v>84.78</v>
      </c>
      <c r="F12" s="107">
        <f t="shared" si="0"/>
        <v>84.78</v>
      </c>
      <c r="H12" s="110"/>
    </row>
    <row r="13" spans="1:8" ht="11" customHeight="1">
      <c r="A13" s="121">
        <v>4</v>
      </c>
      <c r="B13" s="120" t="s">
        <v>1188</v>
      </c>
      <c r="C13" s="119" t="s">
        <v>1120</v>
      </c>
      <c r="D13" s="107">
        <v>3.0000000000000001E-3</v>
      </c>
      <c r="E13" s="107" t="s">
        <v>1187</v>
      </c>
      <c r="F13" s="107">
        <f t="shared" si="0"/>
        <v>0.46200000000000002</v>
      </c>
      <c r="H13" s="110"/>
    </row>
    <row r="14" spans="1:8" ht="11" customHeight="1">
      <c r="A14" s="121">
        <v>5</v>
      </c>
      <c r="B14" s="120" t="s">
        <v>1144</v>
      </c>
      <c r="C14" s="119" t="s">
        <v>1140</v>
      </c>
      <c r="D14" s="107" t="s">
        <v>1142</v>
      </c>
      <c r="E14" s="107">
        <v>1.4</v>
      </c>
      <c r="F14" s="107">
        <f t="shared" si="0"/>
        <v>1.4</v>
      </c>
      <c r="H14" s="110"/>
    </row>
    <row r="15" spans="1:8" ht="11" customHeight="1">
      <c r="A15" s="121">
        <v>6</v>
      </c>
      <c r="B15" s="120" t="s">
        <v>1186</v>
      </c>
      <c r="C15" s="119" t="s">
        <v>1140</v>
      </c>
      <c r="D15" s="107" t="s">
        <v>1142</v>
      </c>
      <c r="E15" s="107"/>
      <c r="F15" s="107">
        <f t="shared" si="0"/>
        <v>0</v>
      </c>
      <c r="H15" s="110"/>
    </row>
    <row r="16" spans="1:8" ht="11" customHeight="1">
      <c r="A16" s="121">
        <v>7</v>
      </c>
      <c r="B16" s="120" t="s">
        <v>1185</v>
      </c>
      <c r="C16" s="119" t="s">
        <v>1140</v>
      </c>
      <c r="D16" s="107" t="s">
        <v>1108</v>
      </c>
      <c r="E16" s="107">
        <v>0.92</v>
      </c>
      <c r="F16" s="107">
        <f t="shared" si="0"/>
        <v>3.68</v>
      </c>
      <c r="H16" s="110"/>
    </row>
    <row r="17" spans="1:8" ht="11" customHeight="1">
      <c r="A17" s="121">
        <v>8</v>
      </c>
      <c r="B17" s="120" t="s">
        <v>1251</v>
      </c>
      <c r="C17" s="119" t="s">
        <v>1140</v>
      </c>
      <c r="D17" s="107" t="s">
        <v>1108</v>
      </c>
      <c r="E17" s="107">
        <v>0.24</v>
      </c>
      <c r="F17" s="107">
        <f t="shared" si="0"/>
        <v>0.96</v>
      </c>
      <c r="H17" s="110"/>
    </row>
    <row r="18" spans="1:8" ht="11" customHeight="1">
      <c r="A18" s="121">
        <v>9</v>
      </c>
      <c r="B18" s="120" t="s">
        <v>1184</v>
      </c>
      <c r="C18" s="119" t="s">
        <v>1140</v>
      </c>
      <c r="D18" s="107" t="s">
        <v>1142</v>
      </c>
      <c r="E18" s="107"/>
      <c r="F18" s="107">
        <f t="shared" si="0"/>
        <v>0</v>
      </c>
      <c r="H18" s="110"/>
    </row>
    <row r="19" spans="1:8" ht="11" customHeight="1">
      <c r="A19" s="121">
        <v>10</v>
      </c>
      <c r="B19" s="120" t="s">
        <v>1183</v>
      </c>
      <c r="C19" s="119" t="s">
        <v>1120</v>
      </c>
      <c r="D19" s="107">
        <v>1.4E-2</v>
      </c>
      <c r="E19" s="107">
        <v>133.33000000000001</v>
      </c>
      <c r="F19" s="107">
        <f t="shared" si="0"/>
        <v>1.8666200000000002</v>
      </c>
      <c r="H19" s="110"/>
    </row>
    <row r="20" spans="1:8" ht="11" customHeight="1">
      <c r="A20" s="121">
        <v>11</v>
      </c>
      <c r="B20" s="120" t="s">
        <v>1182</v>
      </c>
      <c r="C20" s="119" t="s">
        <v>1181</v>
      </c>
      <c r="D20" s="107" t="s">
        <v>1142</v>
      </c>
      <c r="E20" s="107">
        <v>537.5</v>
      </c>
      <c r="F20" s="107">
        <f t="shared" si="0"/>
        <v>537.5</v>
      </c>
      <c r="H20" s="110"/>
    </row>
    <row r="21" spans="1:8" ht="11" customHeight="1">
      <c r="A21" s="121">
        <v>12</v>
      </c>
      <c r="B21" s="120" t="s">
        <v>1135</v>
      </c>
      <c r="C21" s="119" t="s">
        <v>1120</v>
      </c>
      <c r="D21" s="107">
        <v>0.29499999999999998</v>
      </c>
      <c r="E21" s="107">
        <v>202.75</v>
      </c>
      <c r="F21" s="107">
        <f t="shared" si="0"/>
        <v>59.811249999999994</v>
      </c>
      <c r="H21" s="110"/>
    </row>
    <row r="22" spans="1:8" ht="11" customHeight="1">
      <c r="A22" s="121">
        <v>13</v>
      </c>
      <c r="B22" s="120" t="s">
        <v>1243</v>
      </c>
      <c r="C22" s="119" t="s">
        <v>1120</v>
      </c>
      <c r="D22" s="107">
        <v>1.3149999999999999</v>
      </c>
      <c r="E22" s="107">
        <v>69.58</v>
      </c>
      <c r="F22" s="107">
        <f t="shared" si="0"/>
        <v>91.497699999999995</v>
      </c>
      <c r="H22" s="110"/>
    </row>
    <row r="23" spans="1:8" ht="11" customHeight="1">
      <c r="A23" s="121">
        <v>14</v>
      </c>
      <c r="B23" s="120" t="s">
        <v>1178</v>
      </c>
      <c r="C23" s="119" t="s">
        <v>1177</v>
      </c>
      <c r="D23" s="107">
        <v>8.4000000000000005E-2</v>
      </c>
      <c r="E23" s="107">
        <v>638.33000000000004</v>
      </c>
      <c r="F23" s="107">
        <f t="shared" si="0"/>
        <v>53.619720000000008</v>
      </c>
      <c r="H23" s="110"/>
    </row>
    <row r="24" spans="1:8" ht="11" customHeight="1">
      <c r="A24" s="121">
        <v>15</v>
      </c>
      <c r="B24" s="120" t="s">
        <v>1246</v>
      </c>
      <c r="C24" s="119" t="s">
        <v>1120</v>
      </c>
      <c r="D24" s="107">
        <v>1.1950000000000001</v>
      </c>
      <c r="E24" s="107">
        <v>69.17</v>
      </c>
      <c r="F24" s="107">
        <f t="shared" si="0"/>
        <v>82.658150000000006</v>
      </c>
      <c r="H24" s="122"/>
    </row>
    <row r="25" spans="1:8" ht="11" customHeight="1">
      <c r="A25" s="121">
        <v>16</v>
      </c>
      <c r="B25" s="120" t="s">
        <v>1252</v>
      </c>
      <c r="C25" s="119" t="s">
        <v>1120</v>
      </c>
      <c r="D25" s="107">
        <v>4.0000000000000001E-3</v>
      </c>
      <c r="E25" s="107">
        <v>85.83</v>
      </c>
      <c r="F25" s="107">
        <f t="shared" si="0"/>
        <v>0.34332000000000001</v>
      </c>
      <c r="H25" s="110"/>
    </row>
    <row r="26" spans="1:8" ht="11" customHeight="1">
      <c r="A26" s="121">
        <v>17</v>
      </c>
      <c r="B26" s="120" t="s">
        <v>1245</v>
      </c>
      <c r="C26" s="119" t="s">
        <v>1120</v>
      </c>
      <c r="D26" s="107">
        <v>5.0720000000000001</v>
      </c>
      <c r="E26" s="107">
        <v>69.17</v>
      </c>
      <c r="F26" s="107">
        <f t="shared" si="0"/>
        <v>350.83024</v>
      </c>
      <c r="H26" s="110"/>
    </row>
    <row r="27" spans="1:8" ht="11" customHeight="1">
      <c r="A27" s="121">
        <v>18</v>
      </c>
      <c r="B27" s="120" t="s">
        <v>1176</v>
      </c>
      <c r="C27" s="119" t="s">
        <v>1140</v>
      </c>
      <c r="D27" s="107" t="s">
        <v>1142</v>
      </c>
      <c r="E27" s="107">
        <v>18.95</v>
      </c>
      <c r="F27" s="107">
        <f t="shared" si="0"/>
        <v>18.95</v>
      </c>
      <c r="H27" s="110"/>
    </row>
    <row r="28" spans="1:8" ht="11" customHeight="1">
      <c r="A28" s="121">
        <v>19</v>
      </c>
      <c r="B28" s="120" t="s">
        <v>1121</v>
      </c>
      <c r="C28" s="119" t="s">
        <v>1120</v>
      </c>
      <c r="D28" s="107">
        <v>8.0000000000000002E-3</v>
      </c>
      <c r="E28" s="107">
        <v>290</v>
      </c>
      <c r="F28" s="107">
        <f t="shared" si="0"/>
        <v>2.3199999999999998</v>
      </c>
      <c r="H28" s="110"/>
    </row>
    <row r="29" spans="1:8" ht="11" customHeight="1">
      <c r="A29" s="118"/>
      <c r="B29" s="105" t="s">
        <v>1118</v>
      </c>
      <c r="C29" s="105"/>
      <c r="D29" s="105"/>
      <c r="E29" s="105"/>
      <c r="F29" s="114">
        <f>SUM(F10:F28)</f>
        <v>1297.31403</v>
      </c>
      <c r="H29" s="110"/>
    </row>
    <row r="30" spans="1:8" ht="17.25" customHeight="1">
      <c r="A30" s="117"/>
      <c r="B30" s="104" t="s">
        <v>1117</v>
      </c>
      <c r="C30" s="104"/>
      <c r="D30" s="104"/>
      <c r="E30" s="108">
        <v>0.01</v>
      </c>
      <c r="F30" s="116">
        <f>F29*E30</f>
        <v>12.973140300000001</v>
      </c>
      <c r="H30" s="110"/>
    </row>
    <row r="31" spans="1:8" ht="16.5" customHeight="1">
      <c r="A31" s="115"/>
      <c r="B31" s="105" t="s">
        <v>1116</v>
      </c>
      <c r="C31" s="105"/>
      <c r="D31" s="105"/>
      <c r="E31" s="105"/>
      <c r="F31" s="114">
        <f>SUM(F29,F30)</f>
        <v>1310.2871703000001</v>
      </c>
      <c r="H31" s="112"/>
    </row>
    <row r="32" spans="1:8" ht="16.5" customHeight="1">
      <c r="A32" s="104" t="s">
        <v>1115</v>
      </c>
      <c r="B32" s="104" t="s">
        <v>1114</v>
      </c>
      <c r="C32" s="104"/>
      <c r="D32" s="104"/>
      <c r="E32" s="108">
        <v>0.11</v>
      </c>
      <c r="F32" s="106">
        <f>F31*E32</f>
        <v>144.131588733</v>
      </c>
      <c r="H32" s="113"/>
    </row>
    <row r="33" spans="1:8" ht="14.25" customHeight="1">
      <c r="A33" s="104"/>
      <c r="B33" s="109" t="s">
        <v>1113</v>
      </c>
      <c r="C33" s="104"/>
      <c r="D33" s="104"/>
      <c r="E33" s="108">
        <v>0.14000000000000001</v>
      </c>
      <c r="F33" s="106">
        <f>F32*E33</f>
        <v>20.178422422620002</v>
      </c>
      <c r="H33" s="112"/>
    </row>
    <row r="34" spans="1:8" ht="15" customHeight="1">
      <c r="A34" s="104"/>
      <c r="B34" s="109" t="s">
        <v>1112</v>
      </c>
      <c r="C34" s="104"/>
      <c r="D34" s="104"/>
      <c r="E34" s="111">
        <v>0.309</v>
      </c>
      <c r="F34" s="106">
        <f>(F32+F33)*E34</f>
        <v>50.77179344708658</v>
      </c>
      <c r="H34" s="110"/>
    </row>
    <row r="35" spans="1:8" ht="15" customHeight="1">
      <c r="A35" s="104"/>
      <c r="B35" s="109" t="s">
        <v>1111</v>
      </c>
      <c r="C35" s="104"/>
      <c r="D35" s="104"/>
      <c r="E35" s="107"/>
      <c r="F35" s="106"/>
      <c r="H35" s="110"/>
    </row>
    <row r="36" spans="1:8" ht="19.5" customHeight="1">
      <c r="A36" s="104" t="s">
        <v>1110</v>
      </c>
      <c r="B36" s="109" t="s">
        <v>1109</v>
      </c>
      <c r="C36" s="104"/>
      <c r="D36" s="104"/>
      <c r="E36" s="108">
        <v>1.5</v>
      </c>
      <c r="F36" s="106">
        <f>F32*E36</f>
        <v>216.1973830995</v>
      </c>
    </row>
    <row r="37" spans="1:8" ht="18" customHeight="1">
      <c r="A37" s="104" t="s">
        <v>1108</v>
      </c>
      <c r="B37" s="104" t="s">
        <v>1107</v>
      </c>
      <c r="C37" s="104"/>
      <c r="D37" s="104"/>
      <c r="E37" s="107"/>
      <c r="F37" s="106">
        <f>F31+F32+F33+F34+F35+F36</f>
        <v>1741.5663580022067</v>
      </c>
    </row>
    <row r="38" spans="1:8" ht="14.25" customHeight="1">
      <c r="A38" s="104" t="s">
        <v>1106</v>
      </c>
      <c r="B38" s="104" t="s">
        <v>1105</v>
      </c>
      <c r="C38" s="104"/>
      <c r="D38" s="104"/>
      <c r="E38" s="108">
        <v>1</v>
      </c>
      <c r="F38" s="106">
        <f>F32*E38</f>
        <v>144.131588733</v>
      </c>
    </row>
    <row r="39" spans="1:8" ht="14.25" customHeight="1">
      <c r="A39" s="104"/>
      <c r="B39" s="104"/>
      <c r="C39" s="104"/>
      <c r="D39" s="104"/>
      <c r="E39" s="108">
        <v>0.8</v>
      </c>
      <c r="F39" s="106">
        <f>F32*E39</f>
        <v>115.3052709864</v>
      </c>
    </row>
    <row r="40" spans="1:8" ht="14.25" customHeight="1">
      <c r="A40" s="104" t="s">
        <v>1104</v>
      </c>
      <c r="B40" s="104" t="s">
        <v>1103</v>
      </c>
      <c r="C40" s="104"/>
      <c r="D40" s="104"/>
      <c r="E40" s="107"/>
      <c r="F40" s="106">
        <f>F37+F38</f>
        <v>1885.6979467352066</v>
      </c>
    </row>
    <row r="41" spans="1:8" ht="13.5" customHeight="1">
      <c r="A41" s="104"/>
      <c r="B41" s="104"/>
      <c r="C41" s="104"/>
      <c r="D41" s="104"/>
      <c r="E41" s="107"/>
      <c r="F41" s="106">
        <f>F37+F39</f>
        <v>1856.8716289886067</v>
      </c>
    </row>
    <row r="42" spans="1:8" ht="14.25" customHeight="1">
      <c r="A42" s="104" t="s">
        <v>1102</v>
      </c>
      <c r="B42" s="104" t="s">
        <v>83</v>
      </c>
      <c r="C42" s="104"/>
      <c r="D42" s="104"/>
      <c r="E42" s="108">
        <v>0.4</v>
      </c>
      <c r="F42" s="106">
        <f>F40*E42</f>
        <v>754.2791786940827</v>
      </c>
    </row>
    <row r="43" spans="1:8" ht="12.75" customHeight="1">
      <c r="A43" s="104"/>
      <c r="B43" s="104"/>
      <c r="C43" s="104"/>
      <c r="D43" s="104"/>
      <c r="E43" s="108">
        <v>7.0000000000000007E-2</v>
      </c>
      <c r="F43" s="106">
        <f>F40*E43</f>
        <v>131.99885627146449</v>
      </c>
    </row>
    <row r="44" spans="1:8" ht="14.25" customHeight="1">
      <c r="A44" s="104" t="s">
        <v>1101</v>
      </c>
      <c r="B44" s="104" t="s">
        <v>1100</v>
      </c>
      <c r="C44" s="104"/>
      <c r="D44" s="104"/>
      <c r="E44" s="107"/>
      <c r="F44" s="106">
        <v>114.48</v>
      </c>
    </row>
    <row r="45" spans="1:8" ht="14.25" customHeight="1">
      <c r="A45" s="104"/>
      <c r="B45" s="104" t="s">
        <v>1099</v>
      </c>
      <c r="C45" s="104"/>
      <c r="D45" s="104"/>
      <c r="E45" s="107"/>
      <c r="F45" s="106">
        <f>F40+F42+F44</f>
        <v>2754.4571254292891</v>
      </c>
    </row>
    <row r="46" spans="1:8" ht="12.75" customHeight="1">
      <c r="A46" s="104"/>
      <c r="B46" s="104"/>
      <c r="C46" s="104"/>
      <c r="D46" s="104"/>
      <c r="E46" s="107"/>
      <c r="F46" s="106">
        <f>F41+F43+F44</f>
        <v>2103.3504852600713</v>
      </c>
    </row>
    <row r="47" spans="1:8" ht="13.5" customHeight="1">
      <c r="A47" s="104"/>
      <c r="B47" s="104" t="s">
        <v>1098</v>
      </c>
      <c r="C47" s="104"/>
      <c r="D47" s="104"/>
      <c r="E47" s="108">
        <v>0.22</v>
      </c>
      <c r="F47" s="106">
        <f>F45*E47</f>
        <v>605.98056759444364</v>
      </c>
    </row>
    <row r="48" spans="1:8" ht="13.5" customHeight="1">
      <c r="A48" s="104"/>
      <c r="B48" s="104"/>
      <c r="C48" s="104"/>
      <c r="D48" s="104"/>
      <c r="E48" s="108">
        <v>0.22</v>
      </c>
      <c r="F48" s="106">
        <f>F46*E48</f>
        <v>462.73710675721571</v>
      </c>
    </row>
    <row r="49" spans="1:6" ht="12" customHeight="1">
      <c r="A49" s="104"/>
      <c r="B49" s="105" t="s">
        <v>1097</v>
      </c>
      <c r="C49" s="104"/>
      <c r="D49" s="104"/>
      <c r="E49" s="103" t="s">
        <v>1096</v>
      </c>
      <c r="F49" s="102">
        <f>F45+F47</f>
        <v>3360.4376930237327</v>
      </c>
    </row>
    <row r="50" spans="1:6" ht="12.75" customHeight="1">
      <c r="A50" s="104"/>
      <c r="B50" s="104"/>
      <c r="C50" s="104"/>
      <c r="D50" s="104"/>
      <c r="E50" s="103" t="s">
        <v>1095</v>
      </c>
      <c r="F50" s="102">
        <f>F46+F48</f>
        <v>2566.0875920172871</v>
      </c>
    </row>
    <row r="51" spans="1:6" ht="11" customHeight="1"/>
    <row r="52" spans="1:6" ht="11" customHeight="1"/>
    <row r="53" spans="1:6" ht="11" customHeight="1">
      <c r="B53" s="101" t="s">
        <v>1094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pageOrder="overThenDown"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  <pageSetUpPr autoPageBreaks="0"/>
  </sheetPr>
  <dimension ref="A1:H48"/>
  <sheetViews>
    <sheetView workbookViewId="0">
      <selection activeCell="O47" sqref="O47"/>
    </sheetView>
  </sheetViews>
  <sheetFormatPr baseColWidth="10" defaultColWidth="9" defaultRowHeight="11.5" customHeight="1"/>
  <cols>
    <col min="1" max="1" width="5.5" style="73" customWidth="1"/>
    <col min="2" max="2" width="42.1640625" style="73" customWidth="1"/>
    <col min="3" max="3" width="12.5" style="73" customWidth="1"/>
    <col min="4" max="4" width="8.5" style="73" customWidth="1"/>
    <col min="5" max="5" width="9.5" style="73" customWidth="1"/>
    <col min="6" max="6" width="14.1640625" style="73" customWidth="1"/>
    <col min="7" max="7" width="9" style="72"/>
    <col min="8" max="8" width="10.5" style="72" customWidth="1"/>
    <col min="9" max="16384" width="9" style="72"/>
  </cols>
  <sheetData>
    <row r="1" spans="1:8" ht="11" customHeight="1">
      <c r="F1" s="97" t="s">
        <v>1161</v>
      </c>
    </row>
    <row r="2" spans="1:8" ht="11" customHeight="1">
      <c r="F2" s="97" t="s">
        <v>1160</v>
      </c>
    </row>
    <row r="3" spans="1:8" ht="11" customHeight="1">
      <c r="F3" s="97" t="s">
        <v>1159</v>
      </c>
    </row>
    <row r="4" spans="1:8" ht="11" customHeight="1">
      <c r="F4" s="97" t="s">
        <v>1158</v>
      </c>
    </row>
    <row r="5" spans="1:8" ht="16" customHeight="1">
      <c r="A5" s="96" t="s">
        <v>1157</v>
      </c>
      <c r="F5" s="95" t="s">
        <v>1156</v>
      </c>
    </row>
    <row r="6" spans="1:8" ht="11" customHeight="1"/>
    <row r="7" spans="1:8" ht="13" customHeight="1">
      <c r="A7" s="353" t="s">
        <v>110</v>
      </c>
      <c r="B7" s="353"/>
      <c r="C7" s="353"/>
      <c r="D7" s="353"/>
      <c r="E7" s="353"/>
      <c r="F7" s="353"/>
    </row>
    <row r="8" spans="1:8" s="94" customFormat="1" ht="3" customHeight="1"/>
    <row r="9" spans="1:8" ht="11" customHeight="1">
      <c r="A9" s="158" t="s">
        <v>1154</v>
      </c>
      <c r="B9" s="158" t="s">
        <v>1153</v>
      </c>
      <c r="C9" s="158" t="s">
        <v>1152</v>
      </c>
      <c r="D9" s="158" t="s">
        <v>1151</v>
      </c>
      <c r="E9" s="158" t="s">
        <v>1239</v>
      </c>
      <c r="F9" s="158" t="s">
        <v>1240</v>
      </c>
    </row>
    <row r="10" spans="1:8" ht="23" customHeight="1">
      <c r="A10" s="134">
        <v>1</v>
      </c>
      <c r="B10" s="159" t="s">
        <v>1241</v>
      </c>
      <c r="C10" s="160" t="s">
        <v>1191</v>
      </c>
      <c r="D10" s="161">
        <v>7.0000000000000001E-3</v>
      </c>
      <c r="E10" s="161">
        <v>616.66999999999996</v>
      </c>
      <c r="F10" s="161">
        <f t="shared" ref="F10:F23" si="0">E10*D10</f>
        <v>4.3166899999999995</v>
      </c>
      <c r="H10" s="110"/>
    </row>
    <row r="11" spans="1:8" ht="23" customHeight="1">
      <c r="A11" s="134">
        <v>2</v>
      </c>
      <c r="B11" s="159" t="s">
        <v>1242</v>
      </c>
      <c r="C11" s="160" t="s">
        <v>1191</v>
      </c>
      <c r="D11" s="161">
        <v>1E-3</v>
      </c>
      <c r="E11" s="161">
        <v>468.33</v>
      </c>
      <c r="F11" s="161">
        <f t="shared" si="0"/>
        <v>0.46832999999999997</v>
      </c>
      <c r="H11" s="110"/>
    </row>
    <row r="12" spans="1:8" ht="11" customHeight="1">
      <c r="A12" s="134">
        <v>3</v>
      </c>
      <c r="B12" s="159" t="s">
        <v>1188</v>
      </c>
      <c r="C12" s="160" t="s">
        <v>1120</v>
      </c>
      <c r="D12" s="161">
        <v>3.0000000000000001E-3</v>
      </c>
      <c r="E12" s="161" t="s">
        <v>1187</v>
      </c>
      <c r="F12" s="161">
        <f t="shared" si="0"/>
        <v>0.46200000000000002</v>
      </c>
      <c r="H12" s="110"/>
    </row>
    <row r="13" spans="1:8" ht="11" customHeight="1">
      <c r="A13" s="134">
        <v>4</v>
      </c>
      <c r="B13" s="159" t="s">
        <v>1144</v>
      </c>
      <c r="C13" s="160" t="s">
        <v>1140</v>
      </c>
      <c r="D13" s="161" t="s">
        <v>1142</v>
      </c>
      <c r="E13" s="161">
        <v>1.4</v>
      </c>
      <c r="F13" s="161">
        <f t="shared" si="0"/>
        <v>1.4</v>
      </c>
      <c r="H13" s="110"/>
    </row>
    <row r="14" spans="1:8" ht="11" customHeight="1">
      <c r="A14" s="134">
        <v>5</v>
      </c>
      <c r="B14" s="159" t="s">
        <v>1186</v>
      </c>
      <c r="C14" s="160" t="s">
        <v>1140</v>
      </c>
      <c r="D14" s="161" t="s">
        <v>1142</v>
      </c>
      <c r="E14" s="161"/>
      <c r="F14" s="161">
        <f t="shared" si="0"/>
        <v>0</v>
      </c>
      <c r="H14" s="110"/>
    </row>
    <row r="15" spans="1:8" ht="11" customHeight="1">
      <c r="A15" s="134">
        <v>6</v>
      </c>
      <c r="B15" s="159" t="s">
        <v>1193</v>
      </c>
      <c r="C15" s="160" t="s">
        <v>1140</v>
      </c>
      <c r="D15" s="161" t="s">
        <v>1142</v>
      </c>
      <c r="E15" s="161">
        <v>495</v>
      </c>
      <c r="F15" s="161">
        <f t="shared" si="0"/>
        <v>495</v>
      </c>
      <c r="H15" s="110"/>
    </row>
    <row r="16" spans="1:8" ht="11" customHeight="1">
      <c r="A16" s="134">
        <v>7</v>
      </c>
      <c r="B16" s="159" t="s">
        <v>1184</v>
      </c>
      <c r="C16" s="160" t="s">
        <v>1140</v>
      </c>
      <c r="D16" s="161" t="s">
        <v>1142</v>
      </c>
      <c r="E16" s="161"/>
      <c r="F16" s="161">
        <f t="shared" si="0"/>
        <v>0</v>
      </c>
      <c r="H16" s="110"/>
    </row>
    <row r="17" spans="1:8" ht="11" customHeight="1">
      <c r="A17" s="134">
        <v>8</v>
      </c>
      <c r="B17" s="159" t="s">
        <v>1183</v>
      </c>
      <c r="C17" s="160" t="s">
        <v>1120</v>
      </c>
      <c r="D17" s="161">
        <v>1.4E-2</v>
      </c>
      <c r="E17" s="161">
        <v>133.33000000000001</v>
      </c>
      <c r="F17" s="161">
        <f t="shared" si="0"/>
        <v>1.8666200000000002</v>
      </c>
      <c r="H17" s="110"/>
    </row>
    <row r="18" spans="1:8" ht="11" customHeight="1">
      <c r="A18" s="134">
        <v>9</v>
      </c>
      <c r="B18" s="159" t="s">
        <v>1135</v>
      </c>
      <c r="C18" s="160" t="s">
        <v>1120</v>
      </c>
      <c r="D18" s="161">
        <v>0.28299999999999997</v>
      </c>
      <c r="E18" s="161">
        <v>202.75</v>
      </c>
      <c r="F18" s="161">
        <f t="shared" si="0"/>
        <v>57.378249999999994</v>
      </c>
      <c r="H18" s="110"/>
    </row>
    <row r="19" spans="1:8" ht="11" customHeight="1">
      <c r="A19" s="134">
        <v>10</v>
      </c>
      <c r="B19" s="159" t="s">
        <v>1243</v>
      </c>
      <c r="C19" s="160" t="s">
        <v>1120</v>
      </c>
      <c r="D19" s="161">
        <v>1.216</v>
      </c>
      <c r="E19" s="161">
        <v>69.58</v>
      </c>
      <c r="F19" s="161">
        <f t="shared" si="0"/>
        <v>84.609279999999998</v>
      </c>
      <c r="H19" s="110"/>
    </row>
    <row r="20" spans="1:8" ht="11" customHeight="1">
      <c r="A20" s="134">
        <v>11</v>
      </c>
      <c r="B20" s="159" t="s">
        <v>1176</v>
      </c>
      <c r="C20" s="160" t="s">
        <v>1140</v>
      </c>
      <c r="D20" s="161" t="s">
        <v>1142</v>
      </c>
      <c r="E20" s="161">
        <v>18.95</v>
      </c>
      <c r="F20" s="161">
        <f t="shared" si="0"/>
        <v>18.95</v>
      </c>
      <c r="H20" s="110"/>
    </row>
    <row r="21" spans="1:8" ht="11" customHeight="1">
      <c r="A21" s="134">
        <v>12</v>
      </c>
      <c r="B21" s="159" t="s">
        <v>1245</v>
      </c>
      <c r="C21" s="160" t="s">
        <v>1120</v>
      </c>
      <c r="D21" s="161">
        <v>4.7240000000000002</v>
      </c>
      <c r="E21" s="161">
        <v>69.17</v>
      </c>
      <c r="F21" s="161">
        <f t="shared" si="0"/>
        <v>326.75908000000004</v>
      </c>
      <c r="H21" s="110"/>
    </row>
    <row r="22" spans="1:8" ht="11" customHeight="1">
      <c r="A22" s="134">
        <v>13</v>
      </c>
      <c r="B22" s="159" t="s">
        <v>1246</v>
      </c>
      <c r="C22" s="160" t="s">
        <v>1120</v>
      </c>
      <c r="D22" s="161">
        <v>1.133</v>
      </c>
      <c r="E22" s="161">
        <v>69.17</v>
      </c>
      <c r="F22" s="161">
        <f t="shared" si="0"/>
        <v>78.369610000000009</v>
      </c>
      <c r="H22" s="110"/>
    </row>
    <row r="23" spans="1:8" ht="11" customHeight="1">
      <c r="A23" s="134">
        <v>14</v>
      </c>
      <c r="B23" s="159" t="s">
        <v>1121</v>
      </c>
      <c r="C23" s="160" t="s">
        <v>1120</v>
      </c>
      <c r="D23" s="161">
        <v>7.0000000000000001E-3</v>
      </c>
      <c r="E23" s="161">
        <v>290</v>
      </c>
      <c r="F23" s="161">
        <f t="shared" si="0"/>
        <v>2.0300000000000002</v>
      </c>
      <c r="H23" s="110"/>
    </row>
    <row r="24" spans="1:8" ht="15" customHeight="1">
      <c r="A24" s="162"/>
      <c r="B24" s="163" t="s">
        <v>1118</v>
      </c>
      <c r="C24" s="163"/>
      <c r="D24" s="163"/>
      <c r="E24" s="163"/>
      <c r="F24" s="164">
        <f>SUM(F10:F23)</f>
        <v>1071.60986</v>
      </c>
      <c r="H24" s="122"/>
    </row>
    <row r="25" spans="1:8" ht="16.5" customHeight="1">
      <c r="A25" s="165"/>
      <c r="B25" s="166" t="s">
        <v>1117</v>
      </c>
      <c r="C25" s="166"/>
      <c r="D25" s="166"/>
      <c r="E25" s="158">
        <v>0.01</v>
      </c>
      <c r="F25" s="158">
        <f>F24*E25</f>
        <v>10.7160986</v>
      </c>
      <c r="H25" s="110"/>
    </row>
    <row r="26" spans="1:8" ht="15" customHeight="1">
      <c r="A26" s="167"/>
      <c r="B26" s="163" t="s">
        <v>1116</v>
      </c>
      <c r="C26" s="163"/>
      <c r="D26" s="163"/>
      <c r="E26" s="163"/>
      <c r="F26" s="164">
        <f>SUM(F24,F25)</f>
        <v>1082.3259585999999</v>
      </c>
      <c r="H26" s="110"/>
    </row>
    <row r="27" spans="1:8" ht="17.25" customHeight="1">
      <c r="A27" s="166" t="s">
        <v>1115</v>
      </c>
      <c r="B27" s="166" t="s">
        <v>1114</v>
      </c>
      <c r="C27" s="166"/>
      <c r="D27" s="166"/>
      <c r="E27" s="158">
        <v>0.11</v>
      </c>
      <c r="F27" s="168">
        <f>F26*E27</f>
        <v>119.055855446</v>
      </c>
      <c r="H27" s="110"/>
    </row>
    <row r="28" spans="1:8" ht="15.75" customHeight="1">
      <c r="A28" s="166"/>
      <c r="B28" s="169" t="s">
        <v>1113</v>
      </c>
      <c r="C28" s="166"/>
      <c r="D28" s="166"/>
      <c r="E28" s="158">
        <v>0.14000000000000001</v>
      </c>
      <c r="F28" s="168">
        <f>F27*E28</f>
        <v>16.667819762440001</v>
      </c>
      <c r="H28" s="110"/>
    </row>
    <row r="29" spans="1:8" ht="14.25" customHeight="1">
      <c r="A29" s="166"/>
      <c r="B29" s="169" t="s">
        <v>1112</v>
      </c>
      <c r="C29" s="166"/>
      <c r="D29" s="166"/>
      <c r="E29" s="158">
        <v>0.309</v>
      </c>
      <c r="F29" s="168">
        <f>(F27+F28)*E29</f>
        <v>41.938615639407956</v>
      </c>
      <c r="H29" s="110"/>
    </row>
    <row r="30" spans="1:8" ht="14.25" customHeight="1">
      <c r="A30" s="166"/>
      <c r="B30" s="169" t="s">
        <v>1111</v>
      </c>
      <c r="C30" s="166"/>
      <c r="D30" s="166"/>
      <c r="E30" s="158"/>
      <c r="F30" s="168"/>
      <c r="H30" s="110"/>
    </row>
    <row r="31" spans="1:8" ht="13.5" customHeight="1">
      <c r="A31" s="166" t="s">
        <v>1110</v>
      </c>
      <c r="B31" s="169" t="s">
        <v>1109</v>
      </c>
      <c r="C31" s="166"/>
      <c r="D31" s="166"/>
      <c r="E31" s="158">
        <v>1.5</v>
      </c>
      <c r="F31" s="168">
        <f>F27*E31</f>
        <v>178.58378316899999</v>
      </c>
      <c r="H31" s="112"/>
    </row>
    <row r="32" spans="1:8" ht="15" customHeight="1">
      <c r="A32" s="166" t="s">
        <v>1108</v>
      </c>
      <c r="B32" s="166" t="s">
        <v>1107</v>
      </c>
      <c r="C32" s="166"/>
      <c r="D32" s="166"/>
      <c r="E32" s="158"/>
      <c r="F32" s="168">
        <f>F26+F27+F28+F29+F30+F31</f>
        <v>1438.572032616848</v>
      </c>
      <c r="H32" s="113"/>
    </row>
    <row r="33" spans="1:8" ht="15" customHeight="1">
      <c r="A33" s="166" t="s">
        <v>1106</v>
      </c>
      <c r="B33" s="166" t="s">
        <v>1105</v>
      </c>
      <c r="C33" s="166"/>
      <c r="D33" s="166"/>
      <c r="E33" s="158">
        <v>1</v>
      </c>
      <c r="F33" s="168">
        <f>F27*E33</f>
        <v>119.055855446</v>
      </c>
      <c r="H33" s="112"/>
    </row>
    <row r="34" spans="1:8" ht="13.5" customHeight="1">
      <c r="A34" s="166"/>
      <c r="B34" s="166"/>
      <c r="C34" s="166"/>
      <c r="D34" s="166"/>
      <c r="E34" s="158">
        <v>0.8</v>
      </c>
      <c r="F34" s="168">
        <f>F27*E34</f>
        <v>95.244684356800008</v>
      </c>
      <c r="H34" s="110"/>
    </row>
    <row r="35" spans="1:8" ht="13.5" customHeight="1">
      <c r="A35" s="166" t="s">
        <v>1104</v>
      </c>
      <c r="B35" s="166" t="s">
        <v>1103</v>
      </c>
      <c r="C35" s="166"/>
      <c r="D35" s="166"/>
      <c r="E35" s="158"/>
      <c r="F35" s="168">
        <f>F32+F33</f>
        <v>1557.6278880628479</v>
      </c>
      <c r="H35" s="110"/>
    </row>
    <row r="36" spans="1:8" ht="14.25" customHeight="1">
      <c r="A36" s="166"/>
      <c r="B36" s="166"/>
      <c r="C36" s="166"/>
      <c r="D36" s="166"/>
      <c r="E36" s="158"/>
      <c r="F36" s="168">
        <f>F32+F34</f>
        <v>1533.816716973648</v>
      </c>
    </row>
    <row r="37" spans="1:8" ht="14.25" customHeight="1">
      <c r="A37" s="166" t="s">
        <v>1102</v>
      </c>
      <c r="B37" s="166" t="s">
        <v>83</v>
      </c>
      <c r="C37" s="166"/>
      <c r="D37" s="166"/>
      <c r="E37" s="158">
        <v>0.4</v>
      </c>
      <c r="F37" s="168">
        <f>F35*E37</f>
        <v>623.05115522513915</v>
      </c>
    </row>
    <row r="38" spans="1:8" ht="15" customHeight="1">
      <c r="A38" s="166"/>
      <c r="B38" s="166"/>
      <c r="C38" s="166"/>
      <c r="D38" s="166"/>
      <c r="E38" s="158">
        <v>7.0000000000000007E-2</v>
      </c>
      <c r="F38" s="168">
        <f>F35*E38</f>
        <v>109.03395216439937</v>
      </c>
    </row>
    <row r="39" spans="1:8" ht="11" customHeight="1">
      <c r="A39" s="166" t="s">
        <v>1101</v>
      </c>
      <c r="B39" s="166" t="s">
        <v>1100</v>
      </c>
      <c r="C39" s="166"/>
      <c r="D39" s="166"/>
      <c r="E39" s="158"/>
      <c r="F39" s="168">
        <v>114.48</v>
      </c>
    </row>
    <row r="40" spans="1:8" ht="20.25" customHeight="1">
      <c r="A40" s="166"/>
      <c r="B40" s="166" t="s">
        <v>1099</v>
      </c>
      <c r="C40" s="166"/>
      <c r="D40" s="166"/>
      <c r="E40" s="158"/>
      <c r="F40" s="168">
        <f>F35+F37+F39</f>
        <v>2295.1590432879871</v>
      </c>
    </row>
    <row r="41" spans="1:8" ht="11" customHeight="1">
      <c r="A41" s="166"/>
      <c r="B41" s="166"/>
      <c r="C41" s="166"/>
      <c r="D41" s="166"/>
      <c r="E41" s="158"/>
      <c r="F41" s="168">
        <f>F36+F38+F39</f>
        <v>1757.3306691380474</v>
      </c>
    </row>
    <row r="42" spans="1:8" ht="11" customHeight="1">
      <c r="A42" s="166"/>
      <c r="B42" s="166" t="s">
        <v>1098</v>
      </c>
      <c r="C42" s="166"/>
      <c r="D42" s="166"/>
      <c r="E42" s="158">
        <v>0.22</v>
      </c>
      <c r="F42" s="168">
        <f>F40*E42</f>
        <v>504.93498952335716</v>
      </c>
    </row>
    <row r="43" spans="1:8" ht="11" customHeight="1">
      <c r="A43" s="166"/>
      <c r="B43" s="166"/>
      <c r="C43" s="166"/>
      <c r="D43" s="166"/>
      <c r="E43" s="158">
        <v>0.22</v>
      </c>
      <c r="F43" s="168">
        <f>F41*E43</f>
        <v>386.6127472103704</v>
      </c>
    </row>
    <row r="44" spans="1:8" ht="11" customHeight="1">
      <c r="A44" s="166"/>
      <c r="B44" s="163" t="s">
        <v>1097</v>
      </c>
      <c r="C44" s="166"/>
      <c r="D44" s="166"/>
      <c r="E44" s="164" t="s">
        <v>1096</v>
      </c>
      <c r="F44" s="170">
        <f>F40+F42</f>
        <v>2800.0940328113443</v>
      </c>
    </row>
    <row r="45" spans="1:8" ht="11" customHeight="1">
      <c r="A45" s="166"/>
      <c r="B45" s="166"/>
      <c r="C45" s="166"/>
      <c r="D45" s="166"/>
      <c r="E45" s="164" t="s">
        <v>1095</v>
      </c>
      <c r="F45" s="170">
        <f>F41+F43</f>
        <v>2143.9434163484179</v>
      </c>
    </row>
    <row r="46" spans="1:8" s="73" customFormat="1" ht="11" customHeight="1"/>
    <row r="47" spans="1:8" s="73" customFormat="1" ht="11" customHeight="1"/>
    <row r="48" spans="1:8" s="73" customFormat="1" ht="11" customHeight="1">
      <c r="B48" s="73" t="s">
        <v>1094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pageOrder="overThenDown"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  <pageSetUpPr autoPageBreaks="0"/>
  </sheetPr>
  <dimension ref="A1:H53"/>
  <sheetViews>
    <sheetView topLeftCell="A10" workbookViewId="0">
      <selection activeCell="E48" sqref="E48"/>
    </sheetView>
  </sheetViews>
  <sheetFormatPr baseColWidth="10" defaultColWidth="9" defaultRowHeight="11.5" customHeight="1"/>
  <cols>
    <col min="1" max="1" width="5.5" style="101" customWidth="1"/>
    <col min="2" max="2" width="42.1640625" style="101" customWidth="1"/>
    <col min="3" max="3" width="12.5" style="101" customWidth="1"/>
    <col min="4" max="4" width="8.5" style="101" customWidth="1"/>
    <col min="5" max="5" width="9.5" style="101" customWidth="1"/>
    <col min="6" max="6" width="14.1640625" style="101" customWidth="1"/>
    <col min="7" max="7" width="9" style="100"/>
    <col min="8" max="8" width="14" style="100" customWidth="1"/>
    <col min="9" max="16384" width="9" style="100"/>
  </cols>
  <sheetData>
    <row r="1" spans="1:8" ht="11" customHeight="1">
      <c r="F1" s="126" t="s">
        <v>1161</v>
      </c>
    </row>
    <row r="2" spans="1:8" ht="11" customHeight="1">
      <c r="F2" s="126" t="s">
        <v>1160</v>
      </c>
    </row>
    <row r="3" spans="1:8" ht="11" customHeight="1">
      <c r="F3" s="126" t="s">
        <v>1159</v>
      </c>
    </row>
    <row r="4" spans="1:8" ht="11" customHeight="1">
      <c r="F4" s="126" t="s">
        <v>1158</v>
      </c>
    </row>
    <row r="5" spans="1:8" ht="16" customHeight="1">
      <c r="A5" s="125" t="s">
        <v>1157</v>
      </c>
      <c r="F5" s="124" t="s">
        <v>1156</v>
      </c>
    </row>
    <row r="6" spans="1:8" ht="11" customHeight="1"/>
    <row r="7" spans="1:8" ht="13" customHeight="1">
      <c r="A7" s="358" t="s">
        <v>109</v>
      </c>
      <c r="B7" s="358"/>
      <c r="C7" s="358"/>
      <c r="D7" s="358"/>
      <c r="E7" s="358"/>
      <c r="F7" s="358"/>
    </row>
    <row r="8" spans="1:8" s="123" customFormat="1" ht="3" customHeight="1"/>
    <row r="9" spans="1:8" ht="11" customHeight="1">
      <c r="A9" s="107" t="s">
        <v>1154</v>
      </c>
      <c r="B9" s="107" t="s">
        <v>1153</v>
      </c>
      <c r="C9" s="107" t="s">
        <v>1152</v>
      </c>
      <c r="D9" s="107" t="s">
        <v>1151</v>
      </c>
      <c r="E9" s="107" t="s">
        <v>1239</v>
      </c>
      <c r="F9" s="107" t="s">
        <v>1240</v>
      </c>
      <c r="H9" s="110"/>
    </row>
    <row r="10" spans="1:8" ht="23" customHeight="1">
      <c r="A10" s="121">
        <v>1</v>
      </c>
      <c r="B10" s="120" t="s">
        <v>1241</v>
      </c>
      <c r="C10" s="119" t="s">
        <v>1191</v>
      </c>
      <c r="D10" s="107">
        <v>1.0999999999999999E-2</v>
      </c>
      <c r="E10" s="107">
        <v>616.66999999999996</v>
      </c>
      <c r="F10" s="116">
        <f t="shared" ref="F10:F28" si="0">E10*D10</f>
        <v>6.7833699999999988</v>
      </c>
      <c r="H10" s="110"/>
    </row>
    <row r="11" spans="1:8" ht="23" customHeight="1">
      <c r="A11" s="121">
        <v>2</v>
      </c>
      <c r="B11" s="120" t="s">
        <v>1242</v>
      </c>
      <c r="C11" s="119" t="s">
        <v>1191</v>
      </c>
      <c r="D11" s="107">
        <v>1E-3</v>
      </c>
      <c r="E11" s="107">
        <v>468.33</v>
      </c>
      <c r="F11" s="116">
        <f t="shared" si="0"/>
        <v>0.46832999999999997</v>
      </c>
      <c r="H11" s="110"/>
    </row>
    <row r="12" spans="1:8" ht="23" customHeight="1">
      <c r="A12" s="121">
        <v>3</v>
      </c>
      <c r="B12" s="120" t="s">
        <v>1190</v>
      </c>
      <c r="C12" s="119" t="s">
        <v>1189</v>
      </c>
      <c r="D12" s="107" t="s">
        <v>1142</v>
      </c>
      <c r="E12" s="107">
        <v>84.78</v>
      </c>
      <c r="F12" s="116">
        <f t="shared" si="0"/>
        <v>84.78</v>
      </c>
      <c r="H12" s="110"/>
    </row>
    <row r="13" spans="1:8" ht="11" customHeight="1">
      <c r="A13" s="121">
        <v>4</v>
      </c>
      <c r="B13" s="120" t="s">
        <v>1188</v>
      </c>
      <c r="C13" s="119" t="s">
        <v>1120</v>
      </c>
      <c r="D13" s="107">
        <v>3.0000000000000001E-3</v>
      </c>
      <c r="E13" s="107" t="s">
        <v>1187</v>
      </c>
      <c r="F13" s="116">
        <f t="shared" si="0"/>
        <v>0.46200000000000002</v>
      </c>
      <c r="H13" s="110"/>
    </row>
    <row r="14" spans="1:8" ht="11" customHeight="1">
      <c r="A14" s="121">
        <v>5</v>
      </c>
      <c r="B14" s="120" t="s">
        <v>1144</v>
      </c>
      <c r="C14" s="119" t="s">
        <v>1140</v>
      </c>
      <c r="D14" s="107" t="s">
        <v>1142</v>
      </c>
      <c r="E14" s="107">
        <v>1.4</v>
      </c>
      <c r="F14" s="116">
        <f t="shared" si="0"/>
        <v>1.4</v>
      </c>
      <c r="H14" s="110"/>
    </row>
    <row r="15" spans="1:8" ht="11" customHeight="1">
      <c r="A15" s="121">
        <v>6</v>
      </c>
      <c r="B15" s="120" t="s">
        <v>1186</v>
      </c>
      <c r="C15" s="119" t="s">
        <v>1140</v>
      </c>
      <c r="D15" s="107" t="s">
        <v>1142</v>
      </c>
      <c r="E15" s="107"/>
      <c r="F15" s="116">
        <f t="shared" si="0"/>
        <v>0</v>
      </c>
      <c r="H15" s="110"/>
    </row>
    <row r="16" spans="1:8" ht="11" customHeight="1">
      <c r="A16" s="121">
        <v>7</v>
      </c>
      <c r="B16" s="120" t="s">
        <v>1185</v>
      </c>
      <c r="C16" s="119" t="s">
        <v>1140</v>
      </c>
      <c r="D16" s="107" t="s">
        <v>1108</v>
      </c>
      <c r="E16" s="107">
        <v>0.92</v>
      </c>
      <c r="F16" s="116">
        <f t="shared" si="0"/>
        <v>3.68</v>
      </c>
      <c r="H16" s="110"/>
    </row>
    <row r="17" spans="1:8" ht="11" customHeight="1">
      <c r="A17" s="121">
        <v>8</v>
      </c>
      <c r="B17" s="120" t="s">
        <v>1251</v>
      </c>
      <c r="C17" s="119" t="s">
        <v>1140</v>
      </c>
      <c r="D17" s="107" t="s">
        <v>1108</v>
      </c>
      <c r="E17" s="107">
        <v>0.24</v>
      </c>
      <c r="F17" s="116">
        <f t="shared" si="0"/>
        <v>0.96</v>
      </c>
      <c r="H17" s="110"/>
    </row>
    <row r="18" spans="1:8" ht="11" customHeight="1">
      <c r="A18" s="121">
        <v>9</v>
      </c>
      <c r="B18" s="120" t="s">
        <v>1184</v>
      </c>
      <c r="C18" s="119" t="s">
        <v>1140</v>
      </c>
      <c r="D18" s="107" t="s">
        <v>1142</v>
      </c>
      <c r="E18" s="107"/>
      <c r="F18" s="116">
        <f t="shared" si="0"/>
        <v>0</v>
      </c>
      <c r="H18" s="110"/>
    </row>
    <row r="19" spans="1:8" ht="11" customHeight="1">
      <c r="A19" s="121">
        <v>10</v>
      </c>
      <c r="B19" s="120" t="s">
        <v>1183</v>
      </c>
      <c r="C19" s="119" t="s">
        <v>1120</v>
      </c>
      <c r="D19" s="107">
        <v>1.4E-2</v>
      </c>
      <c r="E19" s="107">
        <v>133.33000000000001</v>
      </c>
      <c r="F19" s="116">
        <f t="shared" si="0"/>
        <v>1.8666200000000002</v>
      </c>
      <c r="H19" s="110"/>
    </row>
    <row r="20" spans="1:8" ht="11" customHeight="1">
      <c r="A20" s="121">
        <v>11</v>
      </c>
      <c r="B20" s="120" t="s">
        <v>1182</v>
      </c>
      <c r="C20" s="119" t="s">
        <v>1181</v>
      </c>
      <c r="D20" s="107" t="s">
        <v>1142</v>
      </c>
      <c r="E20" s="107">
        <v>537.5</v>
      </c>
      <c r="F20" s="116">
        <f t="shared" si="0"/>
        <v>537.5</v>
      </c>
      <c r="H20" s="110"/>
    </row>
    <row r="21" spans="1:8" ht="11" customHeight="1">
      <c r="A21" s="121">
        <v>12</v>
      </c>
      <c r="B21" s="120" t="s">
        <v>1135</v>
      </c>
      <c r="C21" s="119" t="s">
        <v>1120</v>
      </c>
      <c r="D21" s="107">
        <v>0.37</v>
      </c>
      <c r="E21" s="107">
        <v>202.75</v>
      </c>
      <c r="F21" s="116">
        <f t="shared" si="0"/>
        <v>75.017499999999998</v>
      </c>
      <c r="H21" s="110"/>
    </row>
    <row r="22" spans="1:8" ht="11" customHeight="1">
      <c r="A22" s="121">
        <v>13</v>
      </c>
      <c r="B22" s="120" t="s">
        <v>1243</v>
      </c>
      <c r="C22" s="119" t="s">
        <v>1120</v>
      </c>
      <c r="D22" s="107">
        <v>1.5840000000000001</v>
      </c>
      <c r="E22" s="107">
        <v>69.58</v>
      </c>
      <c r="F22" s="116">
        <f t="shared" si="0"/>
        <v>110.21472</v>
      </c>
      <c r="H22" s="110"/>
    </row>
    <row r="23" spans="1:8" ht="11" customHeight="1">
      <c r="A23" s="121">
        <v>14</v>
      </c>
      <c r="B23" s="120" t="s">
        <v>1178</v>
      </c>
      <c r="C23" s="119" t="s">
        <v>1177</v>
      </c>
      <c r="D23" s="107">
        <v>0.13200000000000001</v>
      </c>
      <c r="E23" s="107">
        <v>638.33000000000004</v>
      </c>
      <c r="F23" s="116">
        <f t="shared" si="0"/>
        <v>84.259560000000008</v>
      </c>
      <c r="H23" s="122"/>
    </row>
    <row r="24" spans="1:8" ht="11" customHeight="1">
      <c r="A24" s="121">
        <v>15</v>
      </c>
      <c r="B24" s="120" t="s">
        <v>1246</v>
      </c>
      <c r="C24" s="119" t="s">
        <v>1120</v>
      </c>
      <c r="D24" s="107">
        <v>1.2549999999999999</v>
      </c>
      <c r="E24" s="107">
        <v>69.17</v>
      </c>
      <c r="F24" s="116">
        <f t="shared" si="0"/>
        <v>86.80834999999999</v>
      </c>
      <c r="H24" s="110"/>
    </row>
    <row r="25" spans="1:8" ht="11" customHeight="1">
      <c r="A25" s="121">
        <v>16</v>
      </c>
      <c r="B25" s="120" t="s">
        <v>1252</v>
      </c>
      <c r="C25" s="119" t="s">
        <v>1120</v>
      </c>
      <c r="D25" s="107">
        <v>4.0000000000000001E-3</v>
      </c>
      <c r="E25" s="107">
        <v>85.83</v>
      </c>
      <c r="F25" s="116">
        <f t="shared" si="0"/>
        <v>0.34332000000000001</v>
      </c>
      <c r="H25" s="110"/>
    </row>
    <row r="26" spans="1:8" ht="11" customHeight="1">
      <c r="A26" s="121">
        <v>17</v>
      </c>
      <c r="B26" s="120" t="s">
        <v>1245</v>
      </c>
      <c r="C26" s="119" t="s">
        <v>1120</v>
      </c>
      <c r="D26" s="107">
        <v>6.335</v>
      </c>
      <c r="E26" s="107">
        <v>69.17</v>
      </c>
      <c r="F26" s="116">
        <f t="shared" si="0"/>
        <v>438.19195000000002</v>
      </c>
      <c r="H26" s="110"/>
    </row>
    <row r="27" spans="1:8" ht="11" customHeight="1">
      <c r="A27" s="121">
        <v>18</v>
      </c>
      <c r="B27" s="120" t="s">
        <v>1176</v>
      </c>
      <c r="C27" s="119" t="s">
        <v>1140</v>
      </c>
      <c r="D27" s="107" t="s">
        <v>1142</v>
      </c>
      <c r="E27" s="107">
        <v>18.95</v>
      </c>
      <c r="F27" s="116">
        <f t="shared" si="0"/>
        <v>18.95</v>
      </c>
      <c r="H27" s="110"/>
    </row>
    <row r="28" spans="1:8" ht="11" customHeight="1">
      <c r="A28" s="121">
        <v>19</v>
      </c>
      <c r="B28" s="120" t="s">
        <v>1121</v>
      </c>
      <c r="C28" s="119" t="s">
        <v>1120</v>
      </c>
      <c r="D28" s="107">
        <v>0.01</v>
      </c>
      <c r="E28" s="107">
        <v>290</v>
      </c>
      <c r="F28" s="116">
        <f t="shared" si="0"/>
        <v>2.9</v>
      </c>
      <c r="H28" s="110"/>
    </row>
    <row r="29" spans="1:8" ht="11" customHeight="1">
      <c r="A29" s="118"/>
      <c r="B29" s="105" t="s">
        <v>1118</v>
      </c>
      <c r="C29" s="105"/>
      <c r="D29" s="105"/>
      <c r="E29" s="105"/>
      <c r="F29" s="114">
        <f>SUM(F10:F28)</f>
        <v>1454.5857200000003</v>
      </c>
      <c r="H29" s="110"/>
    </row>
    <row r="30" spans="1:8" ht="17.25" customHeight="1">
      <c r="A30" s="117"/>
      <c r="B30" s="104" t="s">
        <v>1117</v>
      </c>
      <c r="C30" s="104"/>
      <c r="D30" s="104"/>
      <c r="E30" s="108">
        <v>0.01</v>
      </c>
      <c r="F30" s="116">
        <f>F29*E30</f>
        <v>14.545857200000002</v>
      </c>
      <c r="H30" s="110"/>
    </row>
    <row r="31" spans="1:8" ht="16.5" customHeight="1">
      <c r="A31" s="115"/>
      <c r="B31" s="105" t="s">
        <v>1116</v>
      </c>
      <c r="C31" s="105"/>
      <c r="D31" s="105"/>
      <c r="E31" s="105"/>
      <c r="F31" s="114">
        <f>SUM(F29,F30)</f>
        <v>1469.1315772000003</v>
      </c>
      <c r="H31" s="110"/>
    </row>
    <row r="32" spans="1:8" ht="16.5" customHeight="1">
      <c r="A32" s="104" t="s">
        <v>1115</v>
      </c>
      <c r="B32" s="104" t="s">
        <v>1114</v>
      </c>
      <c r="C32" s="104"/>
      <c r="D32" s="104"/>
      <c r="E32" s="108">
        <v>0.11</v>
      </c>
      <c r="F32" s="106">
        <f>F31*E32</f>
        <v>161.60447349200004</v>
      </c>
      <c r="H32" s="110"/>
    </row>
    <row r="33" spans="1:8" ht="14.25" customHeight="1">
      <c r="A33" s="104"/>
      <c r="B33" s="109" t="s">
        <v>1113</v>
      </c>
      <c r="C33" s="104"/>
      <c r="D33" s="104"/>
      <c r="E33" s="108">
        <v>0.14000000000000001</v>
      </c>
      <c r="F33" s="106">
        <f>F32*E33</f>
        <v>22.624626288880009</v>
      </c>
      <c r="H33" s="110"/>
    </row>
    <row r="34" spans="1:8" ht="15" customHeight="1">
      <c r="A34" s="104"/>
      <c r="B34" s="109" t="s">
        <v>1112</v>
      </c>
      <c r="C34" s="104"/>
      <c r="D34" s="104"/>
      <c r="E34" s="111">
        <v>0.309</v>
      </c>
      <c r="F34" s="106">
        <f>(F32+F33)*E34</f>
        <v>56.92679183229194</v>
      </c>
    </row>
    <row r="35" spans="1:8" ht="15" customHeight="1">
      <c r="A35" s="104"/>
      <c r="B35" s="109" t="s">
        <v>1111</v>
      </c>
      <c r="C35" s="104"/>
      <c r="D35" s="104"/>
      <c r="E35" s="107"/>
      <c r="F35" s="106"/>
    </row>
    <row r="36" spans="1:8" ht="19.5" customHeight="1">
      <c r="A36" s="104" t="s">
        <v>1110</v>
      </c>
      <c r="B36" s="109" t="s">
        <v>1109</v>
      </c>
      <c r="C36" s="104"/>
      <c r="D36" s="104"/>
      <c r="E36" s="108">
        <v>1.5</v>
      </c>
      <c r="F36" s="106">
        <f>F32*E36</f>
        <v>242.40671023800007</v>
      </c>
    </row>
    <row r="37" spans="1:8" ht="18" customHeight="1">
      <c r="A37" s="104" t="s">
        <v>1108</v>
      </c>
      <c r="B37" s="104" t="s">
        <v>1107</v>
      </c>
      <c r="C37" s="104"/>
      <c r="D37" s="104"/>
      <c r="E37" s="107"/>
      <c r="F37" s="106">
        <f>F31+F32+F33+F34+F35+F36</f>
        <v>1952.6941790511723</v>
      </c>
    </row>
    <row r="38" spans="1:8" ht="14.25" customHeight="1">
      <c r="A38" s="104" t="s">
        <v>1106</v>
      </c>
      <c r="B38" s="104" t="s">
        <v>1105</v>
      </c>
      <c r="C38" s="104"/>
      <c r="D38" s="104"/>
      <c r="E38" s="108">
        <v>1</v>
      </c>
      <c r="F38" s="106">
        <f>F32*E38</f>
        <v>161.60447349200004</v>
      </c>
    </row>
    <row r="39" spans="1:8" ht="14.25" customHeight="1">
      <c r="A39" s="104"/>
      <c r="B39" s="104"/>
      <c r="C39" s="104"/>
      <c r="D39" s="104"/>
      <c r="E39" s="108">
        <v>0.8</v>
      </c>
      <c r="F39" s="106">
        <f>F32*E39</f>
        <v>129.28357879360004</v>
      </c>
    </row>
    <row r="40" spans="1:8" ht="14.25" customHeight="1">
      <c r="A40" s="104" t="s">
        <v>1104</v>
      </c>
      <c r="B40" s="104" t="s">
        <v>1103</v>
      </c>
      <c r="C40" s="104"/>
      <c r="D40" s="104"/>
      <c r="E40" s="107"/>
      <c r="F40" s="106">
        <f>F37+F38</f>
        <v>2114.2986525431725</v>
      </c>
    </row>
    <row r="41" spans="1:8" ht="13.5" customHeight="1">
      <c r="A41" s="104"/>
      <c r="B41" s="104"/>
      <c r="C41" s="104"/>
      <c r="D41" s="104"/>
      <c r="E41" s="107"/>
      <c r="F41" s="106">
        <f>F37+F39</f>
        <v>2081.9777578447724</v>
      </c>
    </row>
    <row r="42" spans="1:8" ht="14.25" customHeight="1">
      <c r="A42" s="104" t="s">
        <v>1102</v>
      </c>
      <c r="B42" s="104" t="s">
        <v>83</v>
      </c>
      <c r="C42" s="104"/>
      <c r="D42" s="104"/>
      <c r="E42" s="108">
        <v>0.4</v>
      </c>
      <c r="F42" s="106">
        <f>F40*E42</f>
        <v>845.71946101726905</v>
      </c>
    </row>
    <row r="43" spans="1:8" ht="12.75" customHeight="1">
      <c r="A43" s="104"/>
      <c r="B43" s="104"/>
      <c r="C43" s="104"/>
      <c r="D43" s="104"/>
      <c r="E43" s="108">
        <v>7.0000000000000007E-2</v>
      </c>
      <c r="F43" s="106">
        <f>F40*E43</f>
        <v>148.00090567802209</v>
      </c>
    </row>
    <row r="44" spans="1:8" ht="14.25" customHeight="1">
      <c r="A44" s="104" t="s">
        <v>1101</v>
      </c>
      <c r="B44" s="104" t="s">
        <v>1100</v>
      </c>
      <c r="C44" s="104"/>
      <c r="D44" s="104"/>
      <c r="E44" s="107"/>
      <c r="F44" s="106">
        <v>144.12</v>
      </c>
    </row>
    <row r="45" spans="1:8" ht="14.25" customHeight="1">
      <c r="A45" s="104"/>
      <c r="B45" s="104" t="s">
        <v>1099</v>
      </c>
      <c r="C45" s="104"/>
      <c r="D45" s="104"/>
      <c r="E45" s="107"/>
      <c r="F45" s="106">
        <f>F40+F42+F44</f>
        <v>3104.1381135604415</v>
      </c>
    </row>
    <row r="46" spans="1:8" ht="12.75" customHeight="1">
      <c r="A46" s="104"/>
      <c r="B46" s="104"/>
      <c r="C46" s="104"/>
      <c r="D46" s="104"/>
      <c r="E46" s="107"/>
      <c r="F46" s="106">
        <f>F41+F43+F44</f>
        <v>2374.0986635227946</v>
      </c>
    </row>
    <row r="47" spans="1:8" ht="13.5" customHeight="1">
      <c r="A47" s="104"/>
      <c r="B47" s="104" t="s">
        <v>1098</v>
      </c>
      <c r="C47" s="104"/>
      <c r="D47" s="104"/>
      <c r="E47" s="108">
        <v>0.22</v>
      </c>
      <c r="F47" s="106">
        <f>F45*E47</f>
        <v>682.91038498329715</v>
      </c>
    </row>
    <row r="48" spans="1:8" ht="13.5" customHeight="1">
      <c r="A48" s="104"/>
      <c r="B48" s="104"/>
      <c r="C48" s="104"/>
      <c r="D48" s="104"/>
      <c r="E48" s="108">
        <v>0.22</v>
      </c>
      <c r="F48" s="106">
        <f>F46*E48</f>
        <v>522.30170597501478</v>
      </c>
    </row>
    <row r="49" spans="1:6" ht="12" customHeight="1">
      <c r="A49" s="104"/>
      <c r="B49" s="105" t="s">
        <v>1097</v>
      </c>
      <c r="C49" s="104"/>
      <c r="D49" s="104"/>
      <c r="E49" s="103" t="s">
        <v>1096</v>
      </c>
      <c r="F49" s="102">
        <f>F45+F47</f>
        <v>3787.0484985437388</v>
      </c>
    </row>
    <row r="50" spans="1:6" ht="12.75" customHeight="1">
      <c r="A50" s="104"/>
      <c r="B50" s="104"/>
      <c r="C50" s="104"/>
      <c r="D50" s="104"/>
      <c r="E50" s="103" t="s">
        <v>1095</v>
      </c>
      <c r="F50" s="102">
        <f>F46+F48</f>
        <v>2896.4003694978092</v>
      </c>
    </row>
    <row r="51" spans="1:6" ht="11" customHeight="1"/>
    <row r="52" spans="1:6" ht="11" customHeight="1"/>
    <row r="53" spans="1:6" ht="11" customHeight="1">
      <c r="B53" s="101" t="s">
        <v>1094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pageOrder="overThenDown"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  <pageSetUpPr autoPageBreaks="0"/>
  </sheetPr>
  <dimension ref="A1:F51"/>
  <sheetViews>
    <sheetView topLeftCell="A20" zoomScale="130" zoomScaleNormal="130" workbookViewId="0">
      <selection activeCell="O54" sqref="O54"/>
    </sheetView>
  </sheetViews>
  <sheetFormatPr baseColWidth="10" defaultColWidth="9" defaultRowHeight="11.5" customHeight="1"/>
  <cols>
    <col min="1" max="1" width="5.5" style="73" customWidth="1"/>
    <col min="2" max="2" width="42.1640625" style="73" customWidth="1"/>
    <col min="3" max="3" width="12.5" style="73" customWidth="1"/>
    <col min="4" max="4" width="8.5" style="73" customWidth="1"/>
    <col min="5" max="5" width="9.5" style="73" customWidth="1"/>
    <col min="6" max="6" width="14.1640625" style="73" customWidth="1"/>
    <col min="7" max="16384" width="9" style="72"/>
  </cols>
  <sheetData>
    <row r="1" spans="1:6" ht="11" customHeight="1">
      <c r="F1" s="97" t="s">
        <v>1161</v>
      </c>
    </row>
    <row r="2" spans="1:6" ht="11" customHeight="1">
      <c r="F2" s="97" t="s">
        <v>1160</v>
      </c>
    </row>
    <row r="3" spans="1:6" ht="11" customHeight="1">
      <c r="F3" s="97" t="s">
        <v>1159</v>
      </c>
    </row>
    <row r="4" spans="1:6" ht="11" customHeight="1">
      <c r="F4" s="97" t="s">
        <v>1158</v>
      </c>
    </row>
    <row r="5" spans="1:6" ht="16" customHeight="1">
      <c r="A5" s="96" t="s">
        <v>1157</v>
      </c>
      <c r="F5" s="95" t="s">
        <v>1156</v>
      </c>
    </row>
    <row r="6" spans="1:6" ht="11" customHeight="1"/>
    <row r="7" spans="1:6" ht="13" customHeight="1">
      <c r="A7" s="353" t="s">
        <v>107</v>
      </c>
      <c r="B7" s="353"/>
      <c r="C7" s="353"/>
      <c r="D7" s="353"/>
      <c r="E7" s="353"/>
      <c r="F7" s="353"/>
    </row>
    <row r="8" spans="1:6" s="94" customFormat="1" ht="3" customHeight="1"/>
    <row r="9" spans="1:6" ht="11" customHeight="1">
      <c r="A9" s="79" t="s">
        <v>1154</v>
      </c>
      <c r="B9" s="79" t="s">
        <v>1153</v>
      </c>
      <c r="C9" s="79" t="s">
        <v>1152</v>
      </c>
      <c r="D9" s="79" t="s">
        <v>1151</v>
      </c>
      <c r="E9" s="79" t="s">
        <v>1239</v>
      </c>
      <c r="F9" s="79" t="s">
        <v>1240</v>
      </c>
    </row>
    <row r="10" spans="1:6" ht="23" customHeight="1">
      <c r="A10" s="92">
        <v>1</v>
      </c>
      <c r="B10" s="91" t="s">
        <v>1241</v>
      </c>
      <c r="C10" s="90" t="s">
        <v>1191</v>
      </c>
      <c r="D10" s="79">
        <v>8.0000000000000002E-3</v>
      </c>
      <c r="E10" s="107">
        <v>616.66999999999996</v>
      </c>
      <c r="F10" s="130">
        <f t="shared" ref="F10:F26" si="0">E10*D10</f>
        <v>4.9333599999999995</v>
      </c>
    </row>
    <row r="11" spans="1:6" ht="23" customHeight="1">
      <c r="A11" s="92">
        <v>2</v>
      </c>
      <c r="B11" s="91" t="s">
        <v>1242</v>
      </c>
      <c r="C11" s="90" t="s">
        <v>1191</v>
      </c>
      <c r="D11" s="79">
        <v>1E-3</v>
      </c>
      <c r="E11" s="107">
        <v>468.33</v>
      </c>
      <c r="F11" s="130">
        <f t="shared" si="0"/>
        <v>0.46832999999999997</v>
      </c>
    </row>
    <row r="12" spans="1:6" ht="11" customHeight="1">
      <c r="A12" s="92">
        <v>3</v>
      </c>
      <c r="B12" s="91" t="s">
        <v>1188</v>
      </c>
      <c r="C12" s="90" t="s">
        <v>1120</v>
      </c>
      <c r="D12" s="79">
        <v>3.0000000000000001E-3</v>
      </c>
      <c r="E12" s="107" t="s">
        <v>1187</v>
      </c>
      <c r="F12" s="130">
        <f t="shared" si="0"/>
        <v>0.46200000000000002</v>
      </c>
    </row>
    <row r="13" spans="1:6" ht="11" customHeight="1">
      <c r="A13" s="92">
        <v>4</v>
      </c>
      <c r="B13" s="91" t="s">
        <v>1144</v>
      </c>
      <c r="C13" s="90" t="s">
        <v>1140</v>
      </c>
      <c r="D13" s="79" t="s">
        <v>1142</v>
      </c>
      <c r="E13" s="107">
        <v>1.4</v>
      </c>
      <c r="F13" s="130">
        <f t="shared" si="0"/>
        <v>1.4</v>
      </c>
    </row>
    <row r="14" spans="1:6" ht="11" customHeight="1">
      <c r="A14" s="92">
        <v>5</v>
      </c>
      <c r="B14" s="91" t="s">
        <v>1186</v>
      </c>
      <c r="C14" s="90" t="s">
        <v>1140</v>
      </c>
      <c r="D14" s="79" t="s">
        <v>1142</v>
      </c>
      <c r="E14" s="107"/>
      <c r="F14" s="130">
        <f t="shared" si="0"/>
        <v>0</v>
      </c>
    </row>
    <row r="15" spans="1:6" ht="11" customHeight="1">
      <c r="A15" s="92">
        <v>6</v>
      </c>
      <c r="B15" s="91" t="s">
        <v>1193</v>
      </c>
      <c r="C15" s="90" t="s">
        <v>1140</v>
      </c>
      <c r="D15" s="79" t="s">
        <v>1142</v>
      </c>
      <c r="E15" s="107">
        <v>495</v>
      </c>
      <c r="F15" s="130">
        <f t="shared" si="0"/>
        <v>495</v>
      </c>
    </row>
    <row r="16" spans="1:6" ht="11" customHeight="1">
      <c r="A16" s="92">
        <v>7</v>
      </c>
      <c r="B16" s="91" t="s">
        <v>1184</v>
      </c>
      <c r="C16" s="90" t="s">
        <v>1140</v>
      </c>
      <c r="D16" s="79" t="s">
        <v>1142</v>
      </c>
      <c r="E16" s="107"/>
      <c r="F16" s="130">
        <f t="shared" si="0"/>
        <v>0</v>
      </c>
    </row>
    <row r="17" spans="1:6" ht="11" customHeight="1">
      <c r="A17" s="92">
        <v>8</v>
      </c>
      <c r="B17" s="91" t="s">
        <v>1183</v>
      </c>
      <c r="C17" s="90" t="s">
        <v>1120</v>
      </c>
      <c r="D17" s="79">
        <v>1.4E-2</v>
      </c>
      <c r="E17" s="107">
        <v>133.33000000000001</v>
      </c>
      <c r="F17" s="130">
        <f t="shared" si="0"/>
        <v>1.8666200000000002</v>
      </c>
    </row>
    <row r="18" spans="1:6" ht="11" customHeight="1">
      <c r="A18" s="92">
        <v>9</v>
      </c>
      <c r="B18" s="91" t="s">
        <v>1135</v>
      </c>
      <c r="C18" s="90" t="s">
        <v>1120</v>
      </c>
      <c r="D18" s="79">
        <v>0.36099999999999999</v>
      </c>
      <c r="E18" s="107">
        <v>202.75</v>
      </c>
      <c r="F18" s="130">
        <f t="shared" si="0"/>
        <v>73.192750000000004</v>
      </c>
    </row>
    <row r="19" spans="1:6" ht="11" customHeight="1">
      <c r="A19" s="92">
        <v>10</v>
      </c>
      <c r="B19" s="91" t="s">
        <v>1180</v>
      </c>
      <c r="C19" s="90" t="s">
        <v>1140</v>
      </c>
      <c r="D19" s="79">
        <v>0.192</v>
      </c>
      <c r="E19" s="107">
        <v>64.680000000000007</v>
      </c>
      <c r="F19" s="130">
        <f t="shared" si="0"/>
        <v>12.418560000000001</v>
      </c>
    </row>
    <row r="20" spans="1:6" ht="11" customHeight="1">
      <c r="A20" s="92">
        <v>11</v>
      </c>
      <c r="B20" s="91" t="s">
        <v>1179</v>
      </c>
      <c r="C20" s="90" t="s">
        <v>1140</v>
      </c>
      <c r="D20" s="79">
        <v>1.4E-2</v>
      </c>
      <c r="E20" s="107">
        <v>1000</v>
      </c>
      <c r="F20" s="130">
        <f t="shared" si="0"/>
        <v>14</v>
      </c>
    </row>
    <row r="21" spans="1:6" ht="11" customHeight="1">
      <c r="A21" s="92">
        <v>12</v>
      </c>
      <c r="B21" s="91" t="s">
        <v>1244</v>
      </c>
      <c r="C21" s="90" t="s">
        <v>1120</v>
      </c>
      <c r="D21" s="79">
        <v>0.12</v>
      </c>
      <c r="E21" s="107">
        <v>158.33000000000001</v>
      </c>
      <c r="F21" s="130">
        <f t="shared" si="0"/>
        <v>18.999600000000001</v>
      </c>
    </row>
    <row r="22" spans="1:6" ht="11" customHeight="1">
      <c r="A22" s="92">
        <v>13</v>
      </c>
      <c r="B22" s="91" t="s">
        <v>1243</v>
      </c>
      <c r="C22" s="90" t="s">
        <v>1120</v>
      </c>
      <c r="D22" s="79">
        <v>1.476</v>
      </c>
      <c r="E22" s="107">
        <v>69.58</v>
      </c>
      <c r="F22" s="130">
        <f t="shared" si="0"/>
        <v>102.70008</v>
      </c>
    </row>
    <row r="23" spans="1:6" ht="11" customHeight="1">
      <c r="A23" s="92">
        <v>14</v>
      </c>
      <c r="B23" s="91" t="s">
        <v>1176</v>
      </c>
      <c r="C23" s="90" t="s">
        <v>1140</v>
      </c>
      <c r="D23" s="79" t="s">
        <v>1142</v>
      </c>
      <c r="E23" s="107">
        <v>18.95</v>
      </c>
      <c r="F23" s="130">
        <f t="shared" si="0"/>
        <v>18.95</v>
      </c>
    </row>
    <row r="24" spans="1:6" ht="11" customHeight="1">
      <c r="A24" s="92">
        <v>15</v>
      </c>
      <c r="B24" s="91" t="s">
        <v>1245</v>
      </c>
      <c r="C24" s="90" t="s">
        <v>1120</v>
      </c>
      <c r="D24" s="79">
        <v>6.0750000000000002</v>
      </c>
      <c r="E24" s="107">
        <v>69.17</v>
      </c>
      <c r="F24" s="130">
        <f t="shared" si="0"/>
        <v>420.20775000000003</v>
      </c>
    </row>
    <row r="25" spans="1:6" ht="11" customHeight="1">
      <c r="A25" s="92">
        <v>16</v>
      </c>
      <c r="B25" s="91" t="s">
        <v>1246</v>
      </c>
      <c r="C25" s="90" t="s">
        <v>1120</v>
      </c>
      <c r="D25" s="79">
        <v>1.1930000000000001</v>
      </c>
      <c r="E25" s="107">
        <v>69.17</v>
      </c>
      <c r="F25" s="130">
        <f t="shared" si="0"/>
        <v>82.519810000000007</v>
      </c>
    </row>
    <row r="26" spans="1:6" ht="11" customHeight="1">
      <c r="A26" s="92">
        <v>17</v>
      </c>
      <c r="B26" s="91" t="s">
        <v>1121</v>
      </c>
      <c r="C26" s="90" t="s">
        <v>1120</v>
      </c>
      <c r="D26" s="79">
        <v>8.9999999999999993E-3</v>
      </c>
      <c r="E26" s="107">
        <v>290</v>
      </c>
      <c r="F26" s="130">
        <f t="shared" si="0"/>
        <v>2.61</v>
      </c>
    </row>
    <row r="27" spans="1:6" ht="15" customHeight="1">
      <c r="A27" s="85"/>
      <c r="B27" s="77" t="s">
        <v>1118</v>
      </c>
      <c r="C27" s="77"/>
      <c r="D27" s="77"/>
      <c r="E27" s="77"/>
      <c r="F27" s="129">
        <f>SUM(F10:F26)</f>
        <v>1249.7288599999999</v>
      </c>
    </row>
    <row r="28" spans="1:6" ht="16.5" customHeight="1">
      <c r="A28" s="84"/>
      <c r="B28" s="76" t="s">
        <v>1117</v>
      </c>
      <c r="C28" s="76"/>
      <c r="D28" s="76"/>
      <c r="E28" s="80">
        <v>0.01</v>
      </c>
      <c r="F28" s="130">
        <f>F27*E28</f>
        <v>12.497288599999999</v>
      </c>
    </row>
    <row r="29" spans="1:6" ht="15" customHeight="1">
      <c r="A29" s="83"/>
      <c r="B29" s="77" t="s">
        <v>1116</v>
      </c>
      <c r="C29" s="77"/>
      <c r="D29" s="77"/>
      <c r="E29" s="77"/>
      <c r="F29" s="129">
        <f>SUM(F27,F28)</f>
        <v>1262.2261486</v>
      </c>
    </row>
    <row r="30" spans="1:6" ht="17.25" customHeight="1">
      <c r="A30" s="76" t="s">
        <v>1115</v>
      </c>
      <c r="B30" s="76" t="s">
        <v>1114</v>
      </c>
      <c r="C30" s="76"/>
      <c r="D30" s="76"/>
      <c r="E30" s="80">
        <v>0.11</v>
      </c>
      <c r="F30" s="128">
        <f>F29*E30</f>
        <v>138.84487634600001</v>
      </c>
    </row>
    <row r="31" spans="1:6" ht="15.75" customHeight="1">
      <c r="A31" s="76"/>
      <c r="B31" s="81" t="s">
        <v>1113</v>
      </c>
      <c r="C31" s="76"/>
      <c r="D31" s="76"/>
      <c r="E31" s="80">
        <v>0.14000000000000001</v>
      </c>
      <c r="F31" s="128">
        <f>F30*E31</f>
        <v>19.438282688440001</v>
      </c>
    </row>
    <row r="32" spans="1:6" ht="14.25" customHeight="1">
      <c r="A32" s="76"/>
      <c r="B32" s="81" t="s">
        <v>1112</v>
      </c>
      <c r="C32" s="76"/>
      <c r="D32" s="76"/>
      <c r="E32" s="82">
        <v>0.309</v>
      </c>
      <c r="F32" s="128">
        <f>(F30+F31)*E32</f>
        <v>48.909496141641966</v>
      </c>
    </row>
    <row r="33" spans="1:6" ht="14.25" customHeight="1">
      <c r="A33" s="76"/>
      <c r="B33" s="81" t="s">
        <v>1111</v>
      </c>
      <c r="C33" s="76"/>
      <c r="D33" s="76"/>
      <c r="E33" s="79"/>
      <c r="F33" s="128"/>
    </row>
    <row r="34" spans="1:6" ht="13.5" customHeight="1">
      <c r="A34" s="76" t="s">
        <v>1110</v>
      </c>
      <c r="B34" s="81" t="s">
        <v>1109</v>
      </c>
      <c r="C34" s="76"/>
      <c r="D34" s="76"/>
      <c r="E34" s="80">
        <v>1.5</v>
      </c>
      <c r="F34" s="128">
        <f>F30*E34</f>
        <v>208.26731451900002</v>
      </c>
    </row>
    <row r="35" spans="1:6" ht="15" customHeight="1">
      <c r="A35" s="76" t="s">
        <v>1108</v>
      </c>
      <c r="B35" s="76" t="s">
        <v>1107</v>
      </c>
      <c r="C35" s="76"/>
      <c r="D35" s="76"/>
      <c r="E35" s="79"/>
      <c r="F35" s="128">
        <f>F29+F30+F31+F32+F33+F34</f>
        <v>1677.686118295082</v>
      </c>
    </row>
    <row r="36" spans="1:6" ht="15" customHeight="1">
      <c r="A36" s="76" t="s">
        <v>1106</v>
      </c>
      <c r="B36" s="76" t="s">
        <v>1105</v>
      </c>
      <c r="C36" s="76"/>
      <c r="D36" s="76"/>
      <c r="E36" s="80">
        <v>1</v>
      </c>
      <c r="F36" s="128">
        <f>F30*E36</f>
        <v>138.84487634600001</v>
      </c>
    </row>
    <row r="37" spans="1:6" ht="13.5" customHeight="1">
      <c r="A37" s="76"/>
      <c r="B37" s="76"/>
      <c r="C37" s="76"/>
      <c r="D37" s="76"/>
      <c r="E37" s="80">
        <v>0.8</v>
      </c>
      <c r="F37" s="128">
        <f>F30*E37</f>
        <v>111.07590107680001</v>
      </c>
    </row>
    <row r="38" spans="1:6" ht="13.5" customHeight="1">
      <c r="A38" s="76" t="s">
        <v>1104</v>
      </c>
      <c r="B38" s="76" t="s">
        <v>1103</v>
      </c>
      <c r="C38" s="76"/>
      <c r="D38" s="76"/>
      <c r="E38" s="79"/>
      <c r="F38" s="128">
        <f>F35+F36</f>
        <v>1816.5309946410821</v>
      </c>
    </row>
    <row r="39" spans="1:6" ht="14.25" customHeight="1">
      <c r="A39" s="76"/>
      <c r="B39" s="76"/>
      <c r="C39" s="76"/>
      <c r="D39" s="76"/>
      <c r="E39" s="79"/>
      <c r="F39" s="128">
        <f>F35+F37</f>
        <v>1788.7620193718819</v>
      </c>
    </row>
    <row r="40" spans="1:6" ht="14.25" customHeight="1">
      <c r="A40" s="76" t="s">
        <v>1102</v>
      </c>
      <c r="B40" s="76" t="s">
        <v>83</v>
      </c>
      <c r="C40" s="76"/>
      <c r="D40" s="76"/>
      <c r="E40" s="80">
        <v>0.4</v>
      </c>
      <c r="F40" s="128">
        <f>F38*E40</f>
        <v>726.61239785643284</v>
      </c>
    </row>
    <row r="41" spans="1:6" ht="15" customHeight="1">
      <c r="A41" s="76"/>
      <c r="B41" s="76"/>
      <c r="C41" s="76"/>
      <c r="D41" s="76"/>
      <c r="E41" s="80">
        <v>7.0000000000000007E-2</v>
      </c>
      <c r="F41" s="128">
        <f>F38*E41</f>
        <v>127.15716962487576</v>
      </c>
    </row>
    <row r="42" spans="1:6" ht="11" customHeight="1">
      <c r="A42" s="76" t="s">
        <v>1101</v>
      </c>
      <c r="B42" s="76" t="s">
        <v>1100</v>
      </c>
      <c r="C42" s="76"/>
      <c r="D42" s="76"/>
      <c r="E42" s="79"/>
      <c r="F42" s="128">
        <v>144.12</v>
      </c>
    </row>
    <row r="43" spans="1:6" ht="20.25" customHeight="1">
      <c r="A43" s="76"/>
      <c r="B43" s="76" t="s">
        <v>1099</v>
      </c>
      <c r="C43" s="76"/>
      <c r="D43" s="76"/>
      <c r="E43" s="79"/>
      <c r="F43" s="128">
        <f>F38+F40+F42</f>
        <v>2687.2633924975148</v>
      </c>
    </row>
    <row r="44" spans="1:6" ht="11" customHeight="1">
      <c r="A44" s="76"/>
      <c r="B44" s="76"/>
      <c r="C44" s="76"/>
      <c r="D44" s="76"/>
      <c r="E44" s="79"/>
      <c r="F44" s="128">
        <f>F39+F41+F42</f>
        <v>2060.0391889967577</v>
      </c>
    </row>
    <row r="45" spans="1:6" ht="11" customHeight="1">
      <c r="A45" s="76"/>
      <c r="B45" s="76" t="s">
        <v>1098</v>
      </c>
      <c r="C45" s="76"/>
      <c r="D45" s="76"/>
      <c r="E45" s="80">
        <v>0.22</v>
      </c>
      <c r="F45" s="128">
        <f>F43*E45</f>
        <v>591.19794634945322</v>
      </c>
    </row>
    <row r="46" spans="1:6" ht="11" customHeight="1">
      <c r="A46" s="76"/>
      <c r="B46" s="76"/>
      <c r="C46" s="76"/>
      <c r="D46" s="76"/>
      <c r="E46" s="80">
        <v>0.22</v>
      </c>
      <c r="F46" s="128">
        <f>F44*E46</f>
        <v>453.20862157928673</v>
      </c>
    </row>
    <row r="47" spans="1:6" ht="11" customHeight="1">
      <c r="A47" s="76"/>
      <c r="B47" s="77" t="s">
        <v>1097</v>
      </c>
      <c r="C47" s="76"/>
      <c r="D47" s="76"/>
      <c r="E47" s="75" t="s">
        <v>1096</v>
      </c>
      <c r="F47" s="127">
        <f>F43+F45</f>
        <v>3278.4613388469679</v>
      </c>
    </row>
    <row r="48" spans="1:6" ht="11" customHeight="1">
      <c r="A48" s="76"/>
      <c r="B48" s="76"/>
      <c r="C48" s="76"/>
      <c r="D48" s="76"/>
      <c r="E48" s="75" t="s">
        <v>1095</v>
      </c>
      <c r="F48" s="127">
        <f>F44+F46</f>
        <v>2513.2478105760447</v>
      </c>
    </row>
    <row r="49" spans="2:2" ht="11" customHeight="1"/>
    <row r="50" spans="2:2" ht="11" customHeight="1"/>
    <row r="51" spans="2:2" ht="11" customHeight="1">
      <c r="B51" s="73" t="s">
        <v>1094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pageOrder="overThenDown"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  <pageSetUpPr autoPageBreaks="0"/>
  </sheetPr>
  <dimension ref="A1:F48"/>
  <sheetViews>
    <sheetView topLeftCell="A7" workbookViewId="0">
      <selection activeCell="P50" sqref="P50"/>
    </sheetView>
  </sheetViews>
  <sheetFormatPr baseColWidth="10" defaultColWidth="9" defaultRowHeight="11.5" customHeight="1"/>
  <cols>
    <col min="1" max="1" width="5.5" style="101" customWidth="1"/>
    <col min="2" max="2" width="42.1640625" style="101" customWidth="1"/>
    <col min="3" max="3" width="12.5" style="101" customWidth="1"/>
    <col min="4" max="4" width="8.5" style="101" customWidth="1"/>
    <col min="5" max="5" width="9.5" style="101" customWidth="1"/>
    <col min="6" max="6" width="14.1640625" style="101" customWidth="1"/>
    <col min="7" max="16384" width="9" style="100"/>
  </cols>
  <sheetData>
    <row r="1" spans="1:6" ht="11" customHeight="1">
      <c r="F1" s="126" t="s">
        <v>1161</v>
      </c>
    </row>
    <row r="2" spans="1:6" ht="11" customHeight="1">
      <c r="F2" s="126" t="s">
        <v>1160</v>
      </c>
    </row>
    <row r="3" spans="1:6" ht="11" customHeight="1">
      <c r="F3" s="126" t="s">
        <v>1159</v>
      </c>
    </row>
    <row r="4" spans="1:6" ht="11" customHeight="1">
      <c r="F4" s="126" t="s">
        <v>1158</v>
      </c>
    </row>
    <row r="5" spans="1:6" ht="16" customHeight="1">
      <c r="A5" s="125" t="s">
        <v>1157</v>
      </c>
      <c r="F5" s="124" t="s">
        <v>1156</v>
      </c>
    </row>
    <row r="6" spans="1:6" ht="11" customHeight="1"/>
    <row r="7" spans="1:6" ht="13" customHeight="1">
      <c r="A7" s="358" t="s">
        <v>104</v>
      </c>
      <c r="B7" s="358"/>
      <c r="C7" s="358"/>
      <c r="D7" s="358"/>
      <c r="E7" s="358"/>
      <c r="F7" s="358"/>
    </row>
    <row r="8" spans="1:6" s="123" customFormat="1" ht="3" customHeight="1"/>
    <row r="9" spans="1:6" ht="11" customHeight="1">
      <c r="A9" s="107" t="s">
        <v>1154</v>
      </c>
      <c r="B9" s="107" t="s">
        <v>1153</v>
      </c>
      <c r="C9" s="107" t="s">
        <v>1152</v>
      </c>
      <c r="D9" s="107" t="s">
        <v>1151</v>
      </c>
      <c r="E9" s="107" t="s">
        <v>1239</v>
      </c>
      <c r="F9" s="107" t="s">
        <v>1240</v>
      </c>
    </row>
    <row r="10" spans="1:6" ht="23" customHeight="1">
      <c r="A10" s="121">
        <v>1</v>
      </c>
      <c r="B10" s="120" t="s">
        <v>1241</v>
      </c>
      <c r="C10" s="119" t="s">
        <v>1191</v>
      </c>
      <c r="D10" s="107">
        <v>6.0000000000000001E-3</v>
      </c>
      <c r="E10" s="107">
        <v>616.66999999999996</v>
      </c>
      <c r="F10" s="116">
        <f t="shared" ref="F10:F23" si="0">E10*D10</f>
        <v>3.7000199999999999</v>
      </c>
    </row>
    <row r="11" spans="1:6" ht="23" customHeight="1">
      <c r="A11" s="121">
        <v>2</v>
      </c>
      <c r="B11" s="120" t="s">
        <v>1242</v>
      </c>
      <c r="C11" s="119" t="s">
        <v>1191</v>
      </c>
      <c r="D11" s="107">
        <v>1E-3</v>
      </c>
      <c r="E11" s="107">
        <v>468.33</v>
      </c>
      <c r="F11" s="116">
        <f t="shared" si="0"/>
        <v>0.46832999999999997</v>
      </c>
    </row>
    <row r="12" spans="1:6" ht="11" customHeight="1">
      <c r="A12" s="121">
        <v>3</v>
      </c>
      <c r="B12" s="120" t="s">
        <v>1188</v>
      </c>
      <c r="C12" s="119" t="s">
        <v>1120</v>
      </c>
      <c r="D12" s="107">
        <v>3.0000000000000001E-3</v>
      </c>
      <c r="E12" s="107" t="s">
        <v>1187</v>
      </c>
      <c r="F12" s="116">
        <f t="shared" si="0"/>
        <v>0.46200000000000002</v>
      </c>
    </row>
    <row r="13" spans="1:6" ht="11" customHeight="1">
      <c r="A13" s="121">
        <v>4</v>
      </c>
      <c r="B13" s="120" t="s">
        <v>1144</v>
      </c>
      <c r="C13" s="119" t="s">
        <v>1140</v>
      </c>
      <c r="D13" s="107" t="s">
        <v>1142</v>
      </c>
      <c r="E13" s="107">
        <v>1.4</v>
      </c>
      <c r="F13" s="116">
        <f t="shared" si="0"/>
        <v>1.4</v>
      </c>
    </row>
    <row r="14" spans="1:6" ht="11" customHeight="1">
      <c r="A14" s="121">
        <v>5</v>
      </c>
      <c r="B14" s="120" t="s">
        <v>1186</v>
      </c>
      <c r="C14" s="119" t="s">
        <v>1140</v>
      </c>
      <c r="D14" s="107" t="s">
        <v>1142</v>
      </c>
      <c r="E14" s="107"/>
      <c r="F14" s="116">
        <f t="shared" si="0"/>
        <v>0</v>
      </c>
    </row>
    <row r="15" spans="1:6" ht="11" customHeight="1">
      <c r="A15" s="121">
        <v>6</v>
      </c>
      <c r="B15" s="120" t="s">
        <v>1184</v>
      </c>
      <c r="C15" s="119" t="s">
        <v>1140</v>
      </c>
      <c r="D15" s="107" t="s">
        <v>1142</v>
      </c>
      <c r="E15" s="107"/>
      <c r="F15" s="116">
        <f t="shared" si="0"/>
        <v>0</v>
      </c>
    </row>
    <row r="16" spans="1:6" ht="11" customHeight="1">
      <c r="A16" s="121">
        <v>7</v>
      </c>
      <c r="B16" s="120" t="s">
        <v>1183</v>
      </c>
      <c r="C16" s="119" t="s">
        <v>1120</v>
      </c>
      <c r="D16" s="107">
        <v>1.4E-2</v>
      </c>
      <c r="E16" s="107">
        <v>133.33000000000001</v>
      </c>
      <c r="F16" s="116">
        <f t="shared" si="0"/>
        <v>1.8666200000000002</v>
      </c>
    </row>
    <row r="17" spans="1:6" ht="11" customHeight="1">
      <c r="A17" s="121">
        <v>8</v>
      </c>
      <c r="B17" s="120" t="s">
        <v>1135</v>
      </c>
      <c r="C17" s="119" t="s">
        <v>1120</v>
      </c>
      <c r="D17" s="107">
        <v>0.19800000000000001</v>
      </c>
      <c r="E17" s="107">
        <v>202.75</v>
      </c>
      <c r="F17" s="116">
        <f t="shared" si="0"/>
        <v>40.144500000000001</v>
      </c>
    </row>
    <row r="18" spans="1:6" ht="11" customHeight="1">
      <c r="A18" s="121">
        <v>9</v>
      </c>
      <c r="B18" s="120" t="s">
        <v>1243</v>
      </c>
      <c r="C18" s="119" t="s">
        <v>1120</v>
      </c>
      <c r="D18" s="107">
        <v>0.86299999999999999</v>
      </c>
      <c r="E18" s="107">
        <v>69.58</v>
      </c>
      <c r="F18" s="116">
        <f t="shared" si="0"/>
        <v>60.047539999999998</v>
      </c>
    </row>
    <row r="19" spans="1:6" ht="11" customHeight="1">
      <c r="A19" s="121">
        <v>10</v>
      </c>
      <c r="B19" s="120" t="s">
        <v>1193</v>
      </c>
      <c r="C19" s="119" t="s">
        <v>1140</v>
      </c>
      <c r="D19" s="107" t="s">
        <v>1142</v>
      </c>
      <c r="E19" s="107">
        <v>495</v>
      </c>
      <c r="F19" s="116">
        <f t="shared" si="0"/>
        <v>495</v>
      </c>
    </row>
    <row r="20" spans="1:6" ht="11" customHeight="1">
      <c r="A20" s="121">
        <v>11</v>
      </c>
      <c r="B20" s="120" t="s">
        <v>1245</v>
      </c>
      <c r="C20" s="119" t="s">
        <v>1120</v>
      </c>
      <c r="D20" s="107">
        <v>3.98</v>
      </c>
      <c r="E20" s="107">
        <v>69.17</v>
      </c>
      <c r="F20" s="116">
        <f t="shared" si="0"/>
        <v>275.29660000000001</v>
      </c>
    </row>
    <row r="21" spans="1:6" ht="11" customHeight="1">
      <c r="A21" s="121">
        <v>12</v>
      </c>
      <c r="B21" s="120" t="s">
        <v>1246</v>
      </c>
      <c r="C21" s="119" t="s">
        <v>1120</v>
      </c>
      <c r="D21" s="107">
        <v>0.77400000000000002</v>
      </c>
      <c r="E21" s="107">
        <v>69.17</v>
      </c>
      <c r="F21" s="116">
        <f t="shared" si="0"/>
        <v>53.537580000000005</v>
      </c>
    </row>
    <row r="22" spans="1:6" ht="11" customHeight="1">
      <c r="A22" s="121">
        <v>13</v>
      </c>
      <c r="B22" s="120" t="s">
        <v>1176</v>
      </c>
      <c r="C22" s="119" t="s">
        <v>1140</v>
      </c>
      <c r="D22" s="107" t="s">
        <v>1142</v>
      </c>
      <c r="E22" s="107">
        <v>18.95</v>
      </c>
      <c r="F22" s="116">
        <f t="shared" si="0"/>
        <v>18.95</v>
      </c>
    </row>
    <row r="23" spans="1:6" ht="11" customHeight="1">
      <c r="A23" s="121">
        <v>14</v>
      </c>
      <c r="B23" s="120" t="s">
        <v>1121</v>
      </c>
      <c r="C23" s="119" t="s">
        <v>1120</v>
      </c>
      <c r="D23" s="107">
        <v>6.0000000000000001E-3</v>
      </c>
      <c r="E23" s="107">
        <v>290</v>
      </c>
      <c r="F23" s="116">
        <f t="shared" si="0"/>
        <v>1.74</v>
      </c>
    </row>
    <row r="24" spans="1:6" ht="11" customHeight="1">
      <c r="A24" s="118"/>
      <c r="B24" s="105" t="s">
        <v>1118</v>
      </c>
      <c r="C24" s="105"/>
      <c r="D24" s="105"/>
      <c r="E24" s="105"/>
      <c r="F24" s="114">
        <f>SUM(F10:F23)</f>
        <v>952.61319000000015</v>
      </c>
    </row>
    <row r="25" spans="1:6" ht="17.25" customHeight="1">
      <c r="A25" s="117"/>
      <c r="B25" s="104" t="s">
        <v>1117</v>
      </c>
      <c r="C25" s="104"/>
      <c r="D25" s="104"/>
      <c r="E25" s="108">
        <v>0.01</v>
      </c>
      <c r="F25" s="116">
        <f>F24*E25</f>
        <v>9.5261319000000011</v>
      </c>
    </row>
    <row r="26" spans="1:6" ht="16.5" customHeight="1">
      <c r="A26" s="115"/>
      <c r="B26" s="105" t="s">
        <v>1116</v>
      </c>
      <c r="C26" s="105"/>
      <c r="D26" s="105"/>
      <c r="E26" s="105"/>
      <c r="F26" s="114">
        <f>SUM(F24,F25)</f>
        <v>962.13932190000014</v>
      </c>
    </row>
    <row r="27" spans="1:6" ht="16.5" customHeight="1">
      <c r="A27" s="104" t="s">
        <v>1115</v>
      </c>
      <c r="B27" s="104" t="s">
        <v>1114</v>
      </c>
      <c r="C27" s="104"/>
      <c r="D27" s="104"/>
      <c r="E27" s="108">
        <v>0.11</v>
      </c>
      <c r="F27" s="106">
        <f>F26*E27</f>
        <v>105.83532540900002</v>
      </c>
    </row>
    <row r="28" spans="1:6" ht="14.25" customHeight="1">
      <c r="A28" s="104"/>
      <c r="B28" s="109" t="s">
        <v>1113</v>
      </c>
      <c r="C28" s="104"/>
      <c r="D28" s="104"/>
      <c r="E28" s="108">
        <v>0.14000000000000001</v>
      </c>
      <c r="F28" s="106">
        <f>F27*E28</f>
        <v>14.816945557260004</v>
      </c>
    </row>
    <row r="29" spans="1:6" ht="15" customHeight="1">
      <c r="A29" s="104"/>
      <c r="B29" s="109" t="s">
        <v>1112</v>
      </c>
      <c r="C29" s="104"/>
      <c r="D29" s="104"/>
      <c r="E29" s="111">
        <v>0.309</v>
      </c>
      <c r="F29" s="106">
        <f>(F27+F28)*E29</f>
        <v>37.281551728574343</v>
      </c>
    </row>
    <row r="30" spans="1:6" ht="15" customHeight="1">
      <c r="A30" s="104"/>
      <c r="B30" s="109" t="s">
        <v>1111</v>
      </c>
      <c r="C30" s="104"/>
      <c r="D30" s="104"/>
      <c r="E30" s="107"/>
      <c r="F30" s="106"/>
    </row>
    <row r="31" spans="1:6" ht="19.5" customHeight="1">
      <c r="A31" s="104" t="s">
        <v>1110</v>
      </c>
      <c r="B31" s="109" t="s">
        <v>1109</v>
      </c>
      <c r="C31" s="104"/>
      <c r="D31" s="104"/>
      <c r="E31" s="108">
        <v>1.5</v>
      </c>
      <c r="F31" s="106">
        <f>F27*E31</f>
        <v>158.75298811350004</v>
      </c>
    </row>
    <row r="32" spans="1:6" ht="18" customHeight="1">
      <c r="A32" s="104" t="s">
        <v>1108</v>
      </c>
      <c r="B32" s="104" t="s">
        <v>1107</v>
      </c>
      <c r="C32" s="104"/>
      <c r="D32" s="104"/>
      <c r="E32" s="107"/>
      <c r="F32" s="106">
        <f>F26+F27+F28+F29+F30+F31</f>
        <v>1278.8261327083346</v>
      </c>
    </row>
    <row r="33" spans="1:6" ht="14.25" customHeight="1">
      <c r="A33" s="104" t="s">
        <v>1106</v>
      </c>
      <c r="B33" s="104" t="s">
        <v>1105</v>
      </c>
      <c r="C33" s="104"/>
      <c r="D33" s="104"/>
      <c r="E33" s="108">
        <v>1</v>
      </c>
      <c r="F33" s="106">
        <f>F27*E33</f>
        <v>105.83532540900002</v>
      </c>
    </row>
    <row r="34" spans="1:6" ht="14.25" customHeight="1">
      <c r="A34" s="104"/>
      <c r="B34" s="104"/>
      <c r="C34" s="104"/>
      <c r="D34" s="104"/>
      <c r="E34" s="108">
        <v>0.8</v>
      </c>
      <c r="F34" s="106">
        <f>F27*E34</f>
        <v>84.668260327200016</v>
      </c>
    </row>
    <row r="35" spans="1:6" ht="14.25" customHeight="1">
      <c r="A35" s="104" t="s">
        <v>1104</v>
      </c>
      <c r="B35" s="104" t="s">
        <v>1103</v>
      </c>
      <c r="C35" s="104"/>
      <c r="D35" s="104"/>
      <c r="E35" s="107"/>
      <c r="F35" s="106">
        <f>F32+F33</f>
        <v>1384.6614581173346</v>
      </c>
    </row>
    <row r="36" spans="1:6" ht="13.5" customHeight="1">
      <c r="A36" s="104"/>
      <c r="B36" s="104"/>
      <c r="C36" s="104"/>
      <c r="D36" s="104"/>
      <c r="E36" s="107"/>
      <c r="F36" s="106">
        <f>F32+F34</f>
        <v>1363.4943930355346</v>
      </c>
    </row>
    <row r="37" spans="1:6" ht="14.25" customHeight="1">
      <c r="A37" s="104" t="s">
        <v>1102</v>
      </c>
      <c r="B37" s="104" t="s">
        <v>83</v>
      </c>
      <c r="C37" s="104"/>
      <c r="D37" s="104"/>
      <c r="E37" s="108">
        <v>0.4</v>
      </c>
      <c r="F37" s="106">
        <f>F35*E37</f>
        <v>553.86458324693388</v>
      </c>
    </row>
    <row r="38" spans="1:6" ht="12.75" customHeight="1">
      <c r="A38" s="104"/>
      <c r="B38" s="104"/>
      <c r="C38" s="104"/>
      <c r="D38" s="104"/>
      <c r="E38" s="108">
        <v>7.0000000000000007E-2</v>
      </c>
      <c r="F38" s="106">
        <f>F35*E38</f>
        <v>96.926302068213431</v>
      </c>
    </row>
    <row r="39" spans="1:6" ht="14.25" customHeight="1">
      <c r="A39" s="104" t="s">
        <v>1101</v>
      </c>
      <c r="B39" s="104" t="s">
        <v>1100</v>
      </c>
      <c r="C39" s="104"/>
      <c r="D39" s="104"/>
      <c r="E39" s="107"/>
      <c r="F39" s="106">
        <v>107.08</v>
      </c>
    </row>
    <row r="40" spans="1:6" ht="14.25" customHeight="1">
      <c r="A40" s="104"/>
      <c r="B40" s="104" t="s">
        <v>1099</v>
      </c>
      <c r="C40" s="104"/>
      <c r="D40" s="104"/>
      <c r="E40" s="107"/>
      <c r="F40" s="106">
        <f>F35+F37+F39</f>
        <v>2045.6060413642685</v>
      </c>
    </row>
    <row r="41" spans="1:6" ht="12.75" customHeight="1">
      <c r="A41" s="104"/>
      <c r="B41" s="104"/>
      <c r="C41" s="104"/>
      <c r="D41" s="104"/>
      <c r="E41" s="107"/>
      <c r="F41" s="106">
        <f>F36+F38+F39</f>
        <v>1567.5006951037481</v>
      </c>
    </row>
    <row r="42" spans="1:6" ht="13.5" customHeight="1">
      <c r="A42" s="104"/>
      <c r="B42" s="104" t="s">
        <v>1098</v>
      </c>
      <c r="C42" s="104"/>
      <c r="D42" s="104"/>
      <c r="E42" s="108">
        <v>0.22</v>
      </c>
      <c r="F42" s="106">
        <f>F40*E42</f>
        <v>450.0333291001391</v>
      </c>
    </row>
    <row r="43" spans="1:6" ht="13.5" customHeight="1">
      <c r="A43" s="104"/>
      <c r="B43" s="104"/>
      <c r="C43" s="104"/>
      <c r="D43" s="104"/>
      <c r="E43" s="108">
        <v>0.22</v>
      </c>
      <c r="F43" s="106">
        <f>F41*E43</f>
        <v>344.85015292282458</v>
      </c>
    </row>
    <row r="44" spans="1:6" ht="12" customHeight="1">
      <c r="A44" s="104"/>
      <c r="B44" s="105" t="s">
        <v>1097</v>
      </c>
      <c r="C44" s="104"/>
      <c r="D44" s="104"/>
      <c r="E44" s="103" t="s">
        <v>1096</v>
      </c>
      <c r="F44" s="102">
        <f>F40+F42</f>
        <v>2495.6393704644079</v>
      </c>
    </row>
    <row r="45" spans="1:6" ht="12.75" customHeight="1">
      <c r="A45" s="104"/>
      <c r="B45" s="104"/>
      <c r="C45" s="104"/>
      <c r="D45" s="104"/>
      <c r="E45" s="103" t="s">
        <v>1095</v>
      </c>
      <c r="F45" s="102">
        <f>F41+F43</f>
        <v>1912.3508480265727</v>
      </c>
    </row>
    <row r="46" spans="1:6" ht="11" customHeight="1"/>
    <row r="47" spans="1:6" ht="11" customHeight="1"/>
    <row r="48" spans="1:6" ht="11" customHeight="1">
      <c r="B48" s="101" t="s">
        <v>1094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pageOrder="overThenDown"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  <pageSetUpPr autoPageBreaks="0"/>
  </sheetPr>
  <dimension ref="A1:H56"/>
  <sheetViews>
    <sheetView topLeftCell="A13" workbookViewId="0">
      <selection activeCell="E51" sqref="E51"/>
    </sheetView>
  </sheetViews>
  <sheetFormatPr baseColWidth="10" defaultColWidth="9" defaultRowHeight="11.5" customHeight="1"/>
  <cols>
    <col min="1" max="1" width="5.5" style="101" customWidth="1"/>
    <col min="2" max="2" width="42.1640625" style="101" customWidth="1"/>
    <col min="3" max="3" width="12.5" style="101" customWidth="1"/>
    <col min="4" max="4" width="8.5" style="101" customWidth="1"/>
    <col min="5" max="5" width="9.5" style="101" customWidth="1"/>
    <col min="6" max="6" width="14.1640625" style="101" customWidth="1"/>
    <col min="7" max="7" width="9" style="100"/>
    <col min="8" max="8" width="9.5" style="100" customWidth="1"/>
    <col min="9" max="16384" width="9" style="100"/>
  </cols>
  <sheetData>
    <row r="1" spans="1:8" ht="11" customHeight="1">
      <c r="F1" s="126" t="s">
        <v>1161</v>
      </c>
    </row>
    <row r="2" spans="1:8" ht="11" customHeight="1">
      <c r="F2" s="126" t="s">
        <v>1160</v>
      </c>
    </row>
    <row r="3" spans="1:8" ht="11" customHeight="1">
      <c r="F3" s="126" t="s">
        <v>1159</v>
      </c>
    </row>
    <row r="4" spans="1:8" ht="11" customHeight="1">
      <c r="F4" s="126" t="s">
        <v>1158</v>
      </c>
    </row>
    <row r="5" spans="1:8" ht="16" customHeight="1">
      <c r="A5" s="125" t="s">
        <v>1157</v>
      </c>
      <c r="F5" s="124" t="s">
        <v>1156</v>
      </c>
    </row>
    <row r="6" spans="1:8" ht="11" customHeight="1"/>
    <row r="7" spans="1:8" ht="13" customHeight="1">
      <c r="A7" s="358" t="s">
        <v>106</v>
      </c>
      <c r="B7" s="358"/>
      <c r="C7" s="358"/>
      <c r="D7" s="358"/>
      <c r="E7" s="358"/>
      <c r="F7" s="358"/>
    </row>
    <row r="8" spans="1:8" s="123" customFormat="1" ht="3" customHeight="1"/>
    <row r="9" spans="1:8" ht="11" customHeight="1">
      <c r="A9" s="107" t="s">
        <v>1154</v>
      </c>
      <c r="B9" s="107" t="s">
        <v>1153</v>
      </c>
      <c r="C9" s="107" t="s">
        <v>1152</v>
      </c>
      <c r="D9" s="107" t="s">
        <v>1151</v>
      </c>
      <c r="E9" s="107" t="s">
        <v>1239</v>
      </c>
      <c r="F9" s="107" t="s">
        <v>1240</v>
      </c>
    </row>
    <row r="10" spans="1:8" ht="23" customHeight="1">
      <c r="A10" s="121">
        <v>1</v>
      </c>
      <c r="B10" s="120" t="s">
        <v>1241</v>
      </c>
      <c r="C10" s="119" t="s">
        <v>1191</v>
      </c>
      <c r="D10" s="107">
        <v>8.9999999999999993E-3</v>
      </c>
      <c r="E10" s="107">
        <v>616.66999999999996</v>
      </c>
      <c r="F10" s="116">
        <f t="shared" ref="F10:F31" si="0">E10*D10</f>
        <v>5.5500299999999996</v>
      </c>
      <c r="H10" s="110"/>
    </row>
    <row r="11" spans="1:8" ht="23" customHeight="1">
      <c r="A11" s="121">
        <v>2</v>
      </c>
      <c r="B11" s="120" t="s">
        <v>1242</v>
      </c>
      <c r="C11" s="119" t="s">
        <v>1191</v>
      </c>
      <c r="D11" s="107">
        <v>1E-3</v>
      </c>
      <c r="E11" s="107">
        <v>468.33</v>
      </c>
      <c r="F11" s="116">
        <f t="shared" si="0"/>
        <v>0.46832999999999997</v>
      </c>
      <c r="H11" s="110"/>
    </row>
    <row r="12" spans="1:8" ht="23" customHeight="1">
      <c r="A12" s="121">
        <v>3</v>
      </c>
      <c r="B12" s="120" t="s">
        <v>1190</v>
      </c>
      <c r="C12" s="119" t="s">
        <v>1189</v>
      </c>
      <c r="D12" s="107" t="s">
        <v>1142</v>
      </c>
      <c r="E12" s="107">
        <v>84.78</v>
      </c>
      <c r="F12" s="116">
        <f t="shared" si="0"/>
        <v>84.78</v>
      </c>
      <c r="H12" s="110"/>
    </row>
    <row r="13" spans="1:8" ht="11" customHeight="1">
      <c r="A13" s="121">
        <v>4</v>
      </c>
      <c r="B13" s="120" t="s">
        <v>1188</v>
      </c>
      <c r="C13" s="119" t="s">
        <v>1120</v>
      </c>
      <c r="D13" s="107">
        <v>3.0000000000000001E-3</v>
      </c>
      <c r="E13" s="107" t="s">
        <v>1187</v>
      </c>
      <c r="F13" s="116">
        <f t="shared" si="0"/>
        <v>0.46200000000000002</v>
      </c>
      <c r="H13" s="110"/>
    </row>
    <row r="14" spans="1:8" ht="11" customHeight="1">
      <c r="A14" s="121">
        <v>5</v>
      </c>
      <c r="B14" s="120" t="s">
        <v>1144</v>
      </c>
      <c r="C14" s="119" t="s">
        <v>1140</v>
      </c>
      <c r="D14" s="107" t="s">
        <v>1142</v>
      </c>
      <c r="E14" s="107">
        <v>1.4</v>
      </c>
      <c r="F14" s="116">
        <f t="shared" si="0"/>
        <v>1.4</v>
      </c>
      <c r="H14" s="110"/>
    </row>
    <row r="15" spans="1:8" ht="11" customHeight="1">
      <c r="A15" s="121">
        <v>6</v>
      </c>
      <c r="B15" s="120" t="s">
        <v>1186</v>
      </c>
      <c r="C15" s="119" t="s">
        <v>1140</v>
      </c>
      <c r="D15" s="107" t="s">
        <v>1142</v>
      </c>
      <c r="E15" s="107"/>
      <c r="F15" s="116">
        <f t="shared" si="0"/>
        <v>0</v>
      </c>
      <c r="H15" s="110"/>
    </row>
    <row r="16" spans="1:8" ht="11" customHeight="1">
      <c r="A16" s="121">
        <v>7</v>
      </c>
      <c r="B16" s="120" t="s">
        <v>1185</v>
      </c>
      <c r="C16" s="119" t="s">
        <v>1140</v>
      </c>
      <c r="D16" s="107" t="s">
        <v>1108</v>
      </c>
      <c r="E16" s="107">
        <v>0.92</v>
      </c>
      <c r="F16" s="116">
        <f t="shared" si="0"/>
        <v>3.68</v>
      </c>
      <c r="H16" s="110"/>
    </row>
    <row r="17" spans="1:8" ht="11" customHeight="1">
      <c r="A17" s="121">
        <v>8</v>
      </c>
      <c r="B17" s="120" t="s">
        <v>1251</v>
      </c>
      <c r="C17" s="119" t="s">
        <v>1140</v>
      </c>
      <c r="D17" s="107" t="s">
        <v>1108</v>
      </c>
      <c r="E17" s="107">
        <v>0.24</v>
      </c>
      <c r="F17" s="116">
        <f t="shared" si="0"/>
        <v>0.96</v>
      </c>
      <c r="H17" s="110"/>
    </row>
    <row r="18" spans="1:8" ht="11" customHeight="1">
      <c r="A18" s="121">
        <v>9</v>
      </c>
      <c r="B18" s="120" t="s">
        <v>1184</v>
      </c>
      <c r="C18" s="119" t="s">
        <v>1140</v>
      </c>
      <c r="D18" s="107" t="s">
        <v>1142</v>
      </c>
      <c r="E18" s="107"/>
      <c r="F18" s="116">
        <f t="shared" si="0"/>
        <v>0</v>
      </c>
      <c r="H18" s="110"/>
    </row>
    <row r="19" spans="1:8" ht="11" customHeight="1">
      <c r="A19" s="121">
        <v>10</v>
      </c>
      <c r="B19" s="120" t="s">
        <v>1183</v>
      </c>
      <c r="C19" s="119" t="s">
        <v>1120</v>
      </c>
      <c r="D19" s="107">
        <v>1.4E-2</v>
      </c>
      <c r="E19" s="107">
        <v>129.05000000000001</v>
      </c>
      <c r="F19" s="116">
        <f t="shared" si="0"/>
        <v>1.8067000000000002</v>
      </c>
    </row>
    <row r="20" spans="1:8" ht="11" customHeight="1">
      <c r="A20" s="121">
        <v>11</v>
      </c>
      <c r="B20" s="120" t="s">
        <v>1135</v>
      </c>
      <c r="C20" s="119" t="s">
        <v>1120</v>
      </c>
      <c r="D20" s="107">
        <v>0.189</v>
      </c>
      <c r="E20" s="107">
        <v>201.72</v>
      </c>
      <c r="F20" s="116">
        <f t="shared" si="0"/>
        <v>38.125079999999997</v>
      </c>
    </row>
    <row r="21" spans="1:8" ht="11" customHeight="1">
      <c r="A21" s="121">
        <v>12</v>
      </c>
      <c r="B21" s="120" t="s">
        <v>1180</v>
      </c>
      <c r="C21" s="119" t="s">
        <v>1140</v>
      </c>
      <c r="D21" s="107">
        <v>0.127</v>
      </c>
      <c r="E21" s="107">
        <v>64.680000000000007</v>
      </c>
      <c r="F21" s="116">
        <f t="shared" si="0"/>
        <v>8.214360000000001</v>
      </c>
    </row>
    <row r="22" spans="1:8" ht="11" customHeight="1">
      <c r="A22" s="121">
        <v>13</v>
      </c>
      <c r="B22" s="120" t="s">
        <v>1179</v>
      </c>
      <c r="C22" s="119" t="s">
        <v>1140</v>
      </c>
      <c r="D22" s="107">
        <v>1.0999999999999999E-2</v>
      </c>
      <c r="E22" s="107">
        <v>1000</v>
      </c>
      <c r="F22" s="116">
        <f t="shared" si="0"/>
        <v>11</v>
      </c>
    </row>
    <row r="23" spans="1:8" ht="11" customHeight="1">
      <c r="A23" s="121">
        <v>14</v>
      </c>
      <c r="B23" s="120" t="s">
        <v>1244</v>
      </c>
      <c r="C23" s="119" t="s">
        <v>1120</v>
      </c>
      <c r="D23" s="107">
        <v>0.16800000000000001</v>
      </c>
      <c r="E23" s="107">
        <v>158.33000000000001</v>
      </c>
      <c r="F23" s="116">
        <f t="shared" si="0"/>
        <v>26.599440000000005</v>
      </c>
    </row>
    <row r="24" spans="1:8" ht="11" customHeight="1">
      <c r="A24" s="121">
        <v>15</v>
      </c>
      <c r="B24" s="120" t="s">
        <v>1182</v>
      </c>
      <c r="C24" s="119" t="s">
        <v>1181</v>
      </c>
      <c r="D24" s="107" t="s">
        <v>1142</v>
      </c>
      <c r="E24" s="107">
        <v>537.5</v>
      </c>
      <c r="F24" s="116">
        <f t="shared" si="0"/>
        <v>537.5</v>
      </c>
    </row>
    <row r="25" spans="1:8" ht="11" customHeight="1">
      <c r="A25" s="121">
        <v>16</v>
      </c>
      <c r="B25" s="120" t="s">
        <v>1178</v>
      </c>
      <c r="C25" s="119" t="s">
        <v>1177</v>
      </c>
      <c r="D25" s="107">
        <v>5.8999999999999997E-2</v>
      </c>
      <c r="E25" s="107">
        <v>638.33000000000004</v>
      </c>
      <c r="F25" s="116">
        <f t="shared" si="0"/>
        <v>37.661470000000001</v>
      </c>
    </row>
    <row r="26" spans="1:8" ht="11" customHeight="1">
      <c r="A26" s="121">
        <v>17</v>
      </c>
      <c r="B26" s="120" t="s">
        <v>1243</v>
      </c>
      <c r="C26" s="119" t="s">
        <v>1120</v>
      </c>
      <c r="D26" s="107">
        <v>0.49299999999999999</v>
      </c>
      <c r="E26" s="107">
        <v>67.08</v>
      </c>
      <c r="F26" s="116">
        <f t="shared" si="0"/>
        <v>33.070439999999998</v>
      </c>
    </row>
    <row r="27" spans="1:8" ht="11" customHeight="1">
      <c r="A27" s="121">
        <v>18</v>
      </c>
      <c r="B27" s="120" t="s">
        <v>1246</v>
      </c>
      <c r="C27" s="119" t="s">
        <v>1120</v>
      </c>
      <c r="D27" s="107">
        <v>0.83599999999999997</v>
      </c>
      <c r="E27" s="107">
        <v>68.33</v>
      </c>
      <c r="F27" s="116">
        <f t="shared" si="0"/>
        <v>57.123879999999993</v>
      </c>
    </row>
    <row r="28" spans="1:8" ht="11" customHeight="1">
      <c r="A28" s="121">
        <v>19</v>
      </c>
      <c r="B28" s="120" t="s">
        <v>1252</v>
      </c>
      <c r="C28" s="119" t="s">
        <v>1120</v>
      </c>
      <c r="D28" s="107">
        <v>4.0000000000000001E-3</v>
      </c>
      <c r="E28" s="107">
        <v>85.83</v>
      </c>
      <c r="F28" s="116">
        <f t="shared" si="0"/>
        <v>0.34332000000000001</v>
      </c>
    </row>
    <row r="29" spans="1:8" ht="11" customHeight="1">
      <c r="A29" s="121">
        <v>20</v>
      </c>
      <c r="B29" s="120" t="s">
        <v>1245</v>
      </c>
      <c r="C29" s="119" t="s">
        <v>1120</v>
      </c>
      <c r="D29" s="107">
        <v>4.1970000000000001</v>
      </c>
      <c r="E29" s="107" t="s">
        <v>1133</v>
      </c>
      <c r="F29" s="116">
        <f t="shared" si="0"/>
        <v>293.79000000000002</v>
      </c>
    </row>
    <row r="30" spans="1:8" ht="11" customHeight="1">
      <c r="A30" s="121">
        <v>21</v>
      </c>
      <c r="B30" s="120" t="s">
        <v>1176</v>
      </c>
      <c r="C30" s="119" t="s">
        <v>1140</v>
      </c>
      <c r="D30" s="107" t="s">
        <v>1142</v>
      </c>
      <c r="E30" s="107">
        <v>17.829999999999998</v>
      </c>
      <c r="F30" s="116">
        <f t="shared" si="0"/>
        <v>17.829999999999998</v>
      </c>
    </row>
    <row r="31" spans="1:8" ht="11" customHeight="1">
      <c r="A31" s="121">
        <v>22</v>
      </c>
      <c r="B31" s="120" t="s">
        <v>1121</v>
      </c>
      <c r="C31" s="119" t="s">
        <v>1120</v>
      </c>
      <c r="D31" s="107">
        <v>6.0000000000000001E-3</v>
      </c>
      <c r="E31" s="107" t="s">
        <v>1192</v>
      </c>
      <c r="F31" s="116">
        <f t="shared" si="0"/>
        <v>1.6679999999999999</v>
      </c>
    </row>
    <row r="32" spans="1:8" ht="11" customHeight="1">
      <c r="A32" s="118"/>
      <c r="B32" s="105" t="s">
        <v>1118</v>
      </c>
      <c r="C32" s="105"/>
      <c r="D32" s="105"/>
      <c r="E32" s="105"/>
      <c r="F32" s="114">
        <f>SUM(F10:F31)</f>
        <v>1162.0330499999998</v>
      </c>
    </row>
    <row r="33" spans="1:6" ht="17.25" customHeight="1">
      <c r="A33" s="117"/>
      <c r="B33" s="104" t="s">
        <v>1117</v>
      </c>
      <c r="C33" s="104"/>
      <c r="D33" s="104"/>
      <c r="E33" s="108">
        <v>0.01</v>
      </c>
      <c r="F33" s="116">
        <f>F32*E33</f>
        <v>11.620330499999998</v>
      </c>
    </row>
    <row r="34" spans="1:6" ht="16.5" customHeight="1">
      <c r="A34" s="115"/>
      <c r="B34" s="105" t="s">
        <v>1116</v>
      </c>
      <c r="C34" s="105"/>
      <c r="D34" s="105"/>
      <c r="E34" s="105"/>
      <c r="F34" s="114">
        <f>SUM(F32,F33)</f>
        <v>1173.6533804999997</v>
      </c>
    </row>
    <row r="35" spans="1:6" ht="16.5" customHeight="1">
      <c r="A35" s="104" t="s">
        <v>1115</v>
      </c>
      <c r="B35" s="104" t="s">
        <v>1114</v>
      </c>
      <c r="C35" s="104"/>
      <c r="D35" s="104"/>
      <c r="E35" s="108">
        <v>0.11</v>
      </c>
      <c r="F35" s="106">
        <f>F34*E35</f>
        <v>129.10187185499996</v>
      </c>
    </row>
    <row r="36" spans="1:6" ht="14.25" customHeight="1">
      <c r="A36" s="104"/>
      <c r="B36" s="109" t="s">
        <v>1113</v>
      </c>
      <c r="C36" s="104"/>
      <c r="D36" s="104"/>
      <c r="E36" s="108">
        <v>0.14000000000000001</v>
      </c>
      <c r="F36" s="106">
        <f>F35*E36</f>
        <v>18.074262059699997</v>
      </c>
    </row>
    <row r="37" spans="1:6" ht="15" customHeight="1">
      <c r="A37" s="104"/>
      <c r="B37" s="109" t="s">
        <v>1112</v>
      </c>
      <c r="C37" s="104"/>
      <c r="D37" s="104"/>
      <c r="E37" s="111">
        <v>0.309</v>
      </c>
      <c r="F37" s="106">
        <f>(F35+F36)*E37</f>
        <v>45.477425379642284</v>
      </c>
    </row>
    <row r="38" spans="1:6" ht="15" customHeight="1">
      <c r="A38" s="104"/>
      <c r="B38" s="109" t="s">
        <v>1111</v>
      </c>
      <c r="C38" s="104"/>
      <c r="D38" s="104"/>
      <c r="E38" s="107"/>
      <c r="F38" s="106"/>
    </row>
    <row r="39" spans="1:6" ht="19.5" customHeight="1">
      <c r="A39" s="104" t="s">
        <v>1110</v>
      </c>
      <c r="B39" s="109" t="s">
        <v>1109</v>
      </c>
      <c r="C39" s="104"/>
      <c r="D39" s="104"/>
      <c r="E39" s="108">
        <v>1.5</v>
      </c>
      <c r="F39" s="106">
        <f>F35*E39</f>
        <v>193.65280778249993</v>
      </c>
    </row>
    <row r="40" spans="1:6" ht="18" customHeight="1">
      <c r="A40" s="104" t="s">
        <v>1108</v>
      </c>
      <c r="B40" s="104" t="s">
        <v>1107</v>
      </c>
      <c r="C40" s="104"/>
      <c r="D40" s="104"/>
      <c r="E40" s="107"/>
      <c r="F40" s="106">
        <f>F34+F35+F36+F37+F38+F39</f>
        <v>1559.9597475768417</v>
      </c>
    </row>
    <row r="41" spans="1:6" ht="14.25" customHeight="1">
      <c r="A41" s="104" t="s">
        <v>1106</v>
      </c>
      <c r="B41" s="104" t="s">
        <v>1105</v>
      </c>
      <c r="C41" s="104"/>
      <c r="D41" s="104"/>
      <c r="E41" s="108">
        <v>1</v>
      </c>
      <c r="F41" s="106">
        <f>F35*E41</f>
        <v>129.10187185499996</v>
      </c>
    </row>
    <row r="42" spans="1:6" ht="14.25" customHeight="1">
      <c r="A42" s="104"/>
      <c r="B42" s="104"/>
      <c r="C42" s="104"/>
      <c r="D42" s="104"/>
      <c r="E42" s="108">
        <v>0.8</v>
      </c>
      <c r="F42" s="106">
        <f>F35*E42</f>
        <v>103.28149748399997</v>
      </c>
    </row>
    <row r="43" spans="1:6" ht="14.25" customHeight="1">
      <c r="A43" s="104" t="s">
        <v>1104</v>
      </c>
      <c r="B43" s="104" t="s">
        <v>1103</v>
      </c>
      <c r="C43" s="104"/>
      <c r="D43" s="104"/>
      <c r="E43" s="107"/>
      <c r="F43" s="106">
        <f>F40+F41</f>
        <v>1689.0616194318416</v>
      </c>
    </row>
    <row r="44" spans="1:6" ht="13.5" customHeight="1">
      <c r="A44" s="104"/>
      <c r="B44" s="104"/>
      <c r="C44" s="104"/>
      <c r="D44" s="104"/>
      <c r="E44" s="107"/>
      <c r="F44" s="106">
        <f>F40+F42</f>
        <v>1663.2412450608417</v>
      </c>
    </row>
    <row r="45" spans="1:6" ht="14.25" customHeight="1">
      <c r="A45" s="104" t="s">
        <v>1102</v>
      </c>
      <c r="B45" s="104" t="s">
        <v>83</v>
      </c>
      <c r="C45" s="104"/>
      <c r="D45" s="104"/>
      <c r="E45" s="108">
        <v>0.4</v>
      </c>
      <c r="F45" s="106">
        <f>F43*E45</f>
        <v>675.62464777273669</v>
      </c>
    </row>
    <row r="46" spans="1:6" ht="12.75" customHeight="1">
      <c r="A46" s="104"/>
      <c r="B46" s="104"/>
      <c r="C46" s="104"/>
      <c r="D46" s="104"/>
      <c r="E46" s="108">
        <v>7.0000000000000007E-2</v>
      </c>
      <c r="F46" s="106">
        <f>F43*E46</f>
        <v>118.23431336022892</v>
      </c>
    </row>
    <row r="47" spans="1:6" ht="14.25" customHeight="1">
      <c r="A47" s="104" t="s">
        <v>1101</v>
      </c>
      <c r="B47" s="104" t="s">
        <v>1100</v>
      </c>
      <c r="C47" s="104"/>
      <c r="D47" s="104"/>
      <c r="E47" s="107"/>
      <c r="F47" s="106">
        <v>107.08</v>
      </c>
    </row>
    <row r="48" spans="1:6" ht="14.25" customHeight="1">
      <c r="A48" s="104"/>
      <c r="B48" s="104" t="s">
        <v>1099</v>
      </c>
      <c r="C48" s="104"/>
      <c r="D48" s="104"/>
      <c r="E48" s="107"/>
      <c r="F48" s="106">
        <f>F43+F45+F47</f>
        <v>2471.7662672045781</v>
      </c>
    </row>
    <row r="49" spans="1:6" ht="12.75" customHeight="1">
      <c r="A49" s="104"/>
      <c r="B49" s="104"/>
      <c r="C49" s="104"/>
      <c r="D49" s="104"/>
      <c r="E49" s="107"/>
      <c r="F49" s="106">
        <f>F44+F46+F47</f>
        <v>1888.5555584210706</v>
      </c>
    </row>
    <row r="50" spans="1:6" ht="13.5" customHeight="1">
      <c r="A50" s="104"/>
      <c r="B50" s="104" t="s">
        <v>1098</v>
      </c>
      <c r="C50" s="104"/>
      <c r="D50" s="104"/>
      <c r="E50" s="108">
        <v>0.22</v>
      </c>
      <c r="F50" s="106">
        <f>F48*E50</f>
        <v>543.78857878500719</v>
      </c>
    </row>
    <row r="51" spans="1:6" ht="13.5" customHeight="1">
      <c r="A51" s="104"/>
      <c r="B51" s="104"/>
      <c r="C51" s="104"/>
      <c r="D51" s="104"/>
      <c r="E51" s="108">
        <v>0.22</v>
      </c>
      <c r="F51" s="106">
        <f>F49*E51</f>
        <v>415.48222285263552</v>
      </c>
    </row>
    <row r="52" spans="1:6" ht="12" customHeight="1">
      <c r="A52" s="104"/>
      <c r="B52" s="105" t="s">
        <v>1097</v>
      </c>
      <c r="C52" s="104"/>
      <c r="D52" s="104"/>
      <c r="E52" s="103" t="s">
        <v>1096</v>
      </c>
      <c r="F52" s="102">
        <f>F48+F50</f>
        <v>3015.5548459895854</v>
      </c>
    </row>
    <row r="53" spans="1:6" ht="12.75" customHeight="1">
      <c r="A53" s="104"/>
      <c r="B53" s="104"/>
      <c r="C53" s="104"/>
      <c r="D53" s="104"/>
      <c r="E53" s="103" t="s">
        <v>1095</v>
      </c>
      <c r="F53" s="102">
        <f>F49+F51</f>
        <v>2304.0377812737061</v>
      </c>
    </row>
    <row r="54" spans="1:6" ht="11" customHeight="1"/>
    <row r="55" spans="1:6" ht="11" customHeight="1"/>
    <row r="56" spans="1:6" ht="11" customHeight="1">
      <c r="B56" s="101" t="s">
        <v>1094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pageOrder="overThenDown"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  <pageSetUpPr autoPageBreaks="0"/>
  </sheetPr>
  <dimension ref="A1:F52"/>
  <sheetViews>
    <sheetView topLeftCell="A4" zoomScale="110" zoomScaleNormal="110" workbookViewId="0">
      <selection activeCell="F43" sqref="F43"/>
    </sheetView>
  </sheetViews>
  <sheetFormatPr baseColWidth="10" defaultColWidth="9" defaultRowHeight="11.5" customHeight="1"/>
  <cols>
    <col min="1" max="1" width="5.5" style="101" customWidth="1"/>
    <col min="2" max="2" width="42.1640625" style="101" customWidth="1"/>
    <col min="3" max="3" width="12.5" style="101" customWidth="1"/>
    <col min="4" max="4" width="8.5" style="101" customWidth="1"/>
    <col min="5" max="5" width="9.5" style="101" customWidth="1"/>
    <col min="6" max="6" width="14.1640625" style="101" customWidth="1"/>
    <col min="7" max="16384" width="9" style="100"/>
  </cols>
  <sheetData>
    <row r="1" spans="1:6" ht="11" customHeight="1">
      <c r="F1" s="126" t="s">
        <v>1161</v>
      </c>
    </row>
    <row r="2" spans="1:6" ht="11" customHeight="1">
      <c r="F2" s="126" t="s">
        <v>1160</v>
      </c>
    </row>
    <row r="3" spans="1:6" ht="11" customHeight="1">
      <c r="F3" s="126" t="s">
        <v>1159</v>
      </c>
    </row>
    <row r="4" spans="1:6" ht="11" customHeight="1">
      <c r="F4" s="126" t="s">
        <v>1158</v>
      </c>
    </row>
    <row r="5" spans="1:6" ht="16" customHeight="1">
      <c r="A5" s="125" t="s">
        <v>1157</v>
      </c>
      <c r="F5" s="124" t="s">
        <v>1156</v>
      </c>
    </row>
    <row r="6" spans="1:6" ht="11" customHeight="1"/>
    <row r="7" spans="1:6" ht="13" customHeight="1">
      <c r="A7" s="358" t="s">
        <v>1198</v>
      </c>
      <c r="B7" s="358"/>
      <c r="C7" s="358"/>
      <c r="D7" s="358"/>
      <c r="E7" s="358"/>
      <c r="F7" s="358"/>
    </row>
    <row r="8" spans="1:6" s="123" customFormat="1" ht="3" customHeight="1"/>
    <row r="9" spans="1:6" ht="11" customHeight="1">
      <c r="A9" s="107" t="s">
        <v>1154</v>
      </c>
      <c r="B9" s="107" t="s">
        <v>1153</v>
      </c>
      <c r="C9" s="107" t="s">
        <v>1152</v>
      </c>
      <c r="D9" s="107" t="s">
        <v>1151</v>
      </c>
      <c r="E9" s="107" t="s">
        <v>1239</v>
      </c>
      <c r="F9" s="107" t="s">
        <v>1240</v>
      </c>
    </row>
    <row r="10" spans="1:6" ht="23" customHeight="1">
      <c r="A10" s="121">
        <v>1</v>
      </c>
      <c r="B10" s="120" t="s">
        <v>1241</v>
      </c>
      <c r="C10" s="119" t="s">
        <v>1191</v>
      </c>
      <c r="D10" s="107">
        <v>0.01</v>
      </c>
      <c r="E10" s="107">
        <v>616.66999999999996</v>
      </c>
      <c r="F10" s="116">
        <f t="shared" ref="F10:F27" si="0">E10*D10</f>
        <v>6.1666999999999996</v>
      </c>
    </row>
    <row r="11" spans="1:6" ht="23" customHeight="1">
      <c r="A11" s="121">
        <v>2</v>
      </c>
      <c r="B11" s="120" t="s">
        <v>1242</v>
      </c>
      <c r="C11" s="119" t="s">
        <v>1191</v>
      </c>
      <c r="D11" s="107">
        <v>1E-3</v>
      </c>
      <c r="E11" s="107">
        <v>468.33</v>
      </c>
      <c r="F11" s="116">
        <f t="shared" si="0"/>
        <v>0.46832999999999997</v>
      </c>
    </row>
    <row r="12" spans="1:6" ht="11" customHeight="1">
      <c r="A12" s="121">
        <v>3</v>
      </c>
      <c r="B12" s="120" t="s">
        <v>1144</v>
      </c>
      <c r="C12" s="119" t="s">
        <v>1140</v>
      </c>
      <c r="D12" s="107" t="s">
        <v>1142</v>
      </c>
      <c r="E12" s="107">
        <v>1.4</v>
      </c>
      <c r="F12" s="116">
        <f t="shared" si="0"/>
        <v>1.4</v>
      </c>
    </row>
    <row r="13" spans="1:6" ht="11" customHeight="1">
      <c r="A13" s="121">
        <v>4</v>
      </c>
      <c r="B13" s="120" t="s">
        <v>1186</v>
      </c>
      <c r="C13" s="119" t="s">
        <v>1140</v>
      </c>
      <c r="D13" s="107" t="s">
        <v>1142</v>
      </c>
      <c r="E13" s="107"/>
      <c r="F13" s="116">
        <f t="shared" si="0"/>
        <v>0</v>
      </c>
    </row>
    <row r="14" spans="1:6" ht="11" customHeight="1">
      <c r="A14" s="121">
        <v>5</v>
      </c>
      <c r="B14" s="120" t="s">
        <v>1197</v>
      </c>
      <c r="C14" s="119" t="s">
        <v>1140</v>
      </c>
      <c r="D14" s="107" t="s">
        <v>1142</v>
      </c>
      <c r="E14" s="107">
        <v>440.83</v>
      </c>
      <c r="F14" s="116">
        <f t="shared" si="0"/>
        <v>440.83</v>
      </c>
    </row>
    <row r="15" spans="1:6" ht="11" customHeight="1">
      <c r="A15" s="121">
        <v>6</v>
      </c>
      <c r="B15" s="120" t="s">
        <v>1184</v>
      </c>
      <c r="C15" s="119" t="s">
        <v>1140</v>
      </c>
      <c r="D15" s="107" t="s">
        <v>1142</v>
      </c>
      <c r="E15" s="107"/>
      <c r="F15" s="116">
        <f t="shared" si="0"/>
        <v>0</v>
      </c>
    </row>
    <row r="16" spans="1:6" ht="11" customHeight="1">
      <c r="A16" s="121">
        <v>7</v>
      </c>
      <c r="B16" s="120" t="s">
        <v>1141</v>
      </c>
      <c r="C16" s="119" t="s">
        <v>1140</v>
      </c>
      <c r="D16" s="107" t="s">
        <v>1142</v>
      </c>
      <c r="E16" s="107"/>
      <c r="F16" s="116">
        <f t="shared" si="0"/>
        <v>0</v>
      </c>
    </row>
    <row r="17" spans="1:6" ht="11" customHeight="1">
      <c r="A17" s="121">
        <v>8</v>
      </c>
      <c r="B17" s="120" t="s">
        <v>1135</v>
      </c>
      <c r="C17" s="119" t="s">
        <v>1120</v>
      </c>
      <c r="D17" s="107">
        <v>7.0000000000000007E-2</v>
      </c>
      <c r="E17" s="107">
        <v>202.75</v>
      </c>
      <c r="F17" s="116">
        <f t="shared" si="0"/>
        <v>14.192500000000001</v>
      </c>
    </row>
    <row r="18" spans="1:6" ht="11" customHeight="1">
      <c r="A18" s="121">
        <v>9</v>
      </c>
      <c r="B18" s="120" t="s">
        <v>1243</v>
      </c>
      <c r="C18" s="119" t="s">
        <v>1120</v>
      </c>
      <c r="D18" s="107">
        <v>8.2739999999999991</v>
      </c>
      <c r="E18" s="107">
        <v>69.58</v>
      </c>
      <c r="F18" s="116">
        <f t="shared" si="0"/>
        <v>575.7049199999999</v>
      </c>
    </row>
    <row r="19" spans="1:6" ht="11" customHeight="1">
      <c r="A19" s="121">
        <v>10</v>
      </c>
      <c r="B19" s="120" t="s">
        <v>1196</v>
      </c>
      <c r="C19" s="119" t="s">
        <v>1120</v>
      </c>
      <c r="D19" s="107">
        <v>0.36</v>
      </c>
      <c r="E19" s="107">
        <v>296.62</v>
      </c>
      <c r="F19" s="116">
        <f t="shared" si="0"/>
        <v>106.78319999999999</v>
      </c>
    </row>
    <row r="20" spans="1:6" ht="11" customHeight="1">
      <c r="A20" s="121">
        <v>11</v>
      </c>
      <c r="B20" s="120" t="s">
        <v>1195</v>
      </c>
      <c r="C20" s="119" t="s">
        <v>1140</v>
      </c>
      <c r="D20" s="107" t="s">
        <v>1115</v>
      </c>
      <c r="E20" s="107">
        <v>25.73</v>
      </c>
      <c r="F20" s="116">
        <f t="shared" si="0"/>
        <v>51.46</v>
      </c>
    </row>
    <row r="21" spans="1:6" ht="11" customHeight="1">
      <c r="A21" s="121">
        <v>12</v>
      </c>
      <c r="B21" s="120" t="s">
        <v>1180</v>
      </c>
      <c r="C21" s="119" t="s">
        <v>1140</v>
      </c>
      <c r="D21" s="107">
        <v>0.24099999999999999</v>
      </c>
      <c r="E21" s="107">
        <v>64.680000000000007</v>
      </c>
      <c r="F21" s="116">
        <f t="shared" si="0"/>
        <v>15.587880000000002</v>
      </c>
    </row>
    <row r="22" spans="1:6" ht="11" customHeight="1">
      <c r="A22" s="121">
        <v>13</v>
      </c>
      <c r="B22" s="120" t="s">
        <v>1179</v>
      </c>
      <c r="C22" s="119" t="s">
        <v>1140</v>
      </c>
      <c r="D22" s="107">
        <v>2.1999999999999999E-2</v>
      </c>
      <c r="E22" s="107">
        <v>1000</v>
      </c>
      <c r="F22" s="116">
        <f t="shared" si="0"/>
        <v>22</v>
      </c>
    </row>
    <row r="23" spans="1:6" ht="11" customHeight="1">
      <c r="A23" s="121">
        <v>14</v>
      </c>
      <c r="B23" s="120" t="s">
        <v>1244</v>
      </c>
      <c r="C23" s="119" t="s">
        <v>1120</v>
      </c>
      <c r="D23" s="107">
        <v>0.214</v>
      </c>
      <c r="E23" s="107">
        <v>158.33000000000001</v>
      </c>
      <c r="F23" s="116">
        <f t="shared" si="0"/>
        <v>33.882620000000003</v>
      </c>
    </row>
    <row r="24" spans="1:6" ht="11" customHeight="1">
      <c r="A24" s="121">
        <v>15</v>
      </c>
      <c r="B24" s="120" t="s">
        <v>1253</v>
      </c>
      <c r="C24" s="119" t="s">
        <v>1120</v>
      </c>
      <c r="D24" s="107">
        <v>0.12</v>
      </c>
      <c r="E24" s="107">
        <v>158.33000000000001</v>
      </c>
      <c r="F24" s="116">
        <f t="shared" si="0"/>
        <v>18.999600000000001</v>
      </c>
    </row>
    <row r="25" spans="1:6" ht="11" customHeight="1">
      <c r="A25" s="121">
        <v>16</v>
      </c>
      <c r="B25" s="120" t="s">
        <v>1194</v>
      </c>
      <c r="C25" s="119" t="s">
        <v>1120</v>
      </c>
      <c r="D25" s="107">
        <v>0.313</v>
      </c>
      <c r="E25" s="107">
        <v>53.33</v>
      </c>
      <c r="F25" s="116">
        <f t="shared" si="0"/>
        <v>16.69229</v>
      </c>
    </row>
    <row r="26" spans="1:6" ht="11" customHeight="1">
      <c r="A26" s="121">
        <v>17</v>
      </c>
      <c r="B26" s="120" t="s">
        <v>1254</v>
      </c>
      <c r="C26" s="119" t="s">
        <v>1120</v>
      </c>
      <c r="D26" s="107">
        <v>1.8049999999999999</v>
      </c>
      <c r="E26" s="107">
        <v>69.17</v>
      </c>
      <c r="F26" s="116">
        <f t="shared" si="0"/>
        <v>124.85185</v>
      </c>
    </row>
    <row r="27" spans="1:6" ht="11" customHeight="1">
      <c r="A27" s="121">
        <v>18</v>
      </c>
      <c r="B27" s="120" t="s">
        <v>1121</v>
      </c>
      <c r="C27" s="119" t="s">
        <v>1120</v>
      </c>
      <c r="D27" s="107">
        <v>1.2999999999999999E-2</v>
      </c>
      <c r="E27" s="107">
        <v>290</v>
      </c>
      <c r="F27" s="116">
        <f t="shared" si="0"/>
        <v>3.77</v>
      </c>
    </row>
    <row r="28" spans="1:6" ht="19.5" customHeight="1">
      <c r="A28" s="118"/>
      <c r="B28" s="105" t="s">
        <v>1118</v>
      </c>
      <c r="C28" s="105"/>
      <c r="D28" s="105"/>
      <c r="E28" s="105"/>
      <c r="F28" s="114">
        <f>SUM(F10:F27)</f>
        <v>1432.7898900000002</v>
      </c>
    </row>
    <row r="29" spans="1:6" ht="17.25" customHeight="1">
      <c r="A29" s="117"/>
      <c r="B29" s="104" t="s">
        <v>1117</v>
      </c>
      <c r="C29" s="104"/>
      <c r="D29" s="104"/>
      <c r="E29" s="108">
        <v>0.01</v>
      </c>
      <c r="F29" s="116">
        <f>F28*E29</f>
        <v>14.327898900000003</v>
      </c>
    </row>
    <row r="30" spans="1:6" ht="19.5" customHeight="1">
      <c r="A30" s="115"/>
      <c r="B30" s="105" t="s">
        <v>1116</v>
      </c>
      <c r="C30" s="105"/>
      <c r="D30" s="105"/>
      <c r="E30" s="105"/>
      <c r="F30" s="114">
        <f>SUM(F28,F29)</f>
        <v>1447.1177889000003</v>
      </c>
    </row>
    <row r="31" spans="1:6" ht="15" customHeight="1">
      <c r="A31" s="104" t="s">
        <v>1115</v>
      </c>
      <c r="B31" s="104" t="s">
        <v>1114</v>
      </c>
      <c r="C31" s="104"/>
      <c r="D31" s="104"/>
      <c r="E31" s="108">
        <v>0.11</v>
      </c>
      <c r="F31" s="106">
        <f>F30*E31</f>
        <v>159.18295677900002</v>
      </c>
    </row>
    <row r="32" spans="1:6" ht="15.75" customHeight="1">
      <c r="A32" s="104"/>
      <c r="B32" s="109" t="s">
        <v>1113</v>
      </c>
      <c r="C32" s="104"/>
      <c r="D32" s="104"/>
      <c r="E32" s="108">
        <v>0.14000000000000001</v>
      </c>
      <c r="F32" s="106">
        <f>F31*E32</f>
        <v>22.285613949060004</v>
      </c>
    </row>
    <row r="33" spans="1:6" ht="16.5" customHeight="1">
      <c r="A33" s="104"/>
      <c r="B33" s="109" t="s">
        <v>1112</v>
      </c>
      <c r="C33" s="104"/>
      <c r="D33" s="104"/>
      <c r="E33" s="111">
        <v>0.309</v>
      </c>
      <c r="F33" s="106">
        <f>(F31+F32)*E33</f>
        <v>56.073788354970546</v>
      </c>
    </row>
    <row r="34" spans="1:6" ht="15.75" customHeight="1">
      <c r="A34" s="104"/>
      <c r="B34" s="109" t="s">
        <v>1111</v>
      </c>
      <c r="C34" s="104"/>
      <c r="D34" s="104"/>
      <c r="E34" s="107"/>
      <c r="F34" s="106"/>
    </row>
    <row r="35" spans="1:6" ht="16.5" customHeight="1">
      <c r="A35" s="104" t="s">
        <v>1110</v>
      </c>
      <c r="B35" s="109" t="s">
        <v>1109</v>
      </c>
      <c r="C35" s="104"/>
      <c r="D35" s="104"/>
      <c r="E35" s="108">
        <v>1.5</v>
      </c>
      <c r="F35" s="106">
        <f>F31*E35</f>
        <v>238.77443516850002</v>
      </c>
    </row>
    <row r="36" spans="1:6" ht="16.5" customHeight="1">
      <c r="A36" s="104" t="s">
        <v>1108</v>
      </c>
      <c r="B36" s="104" t="s">
        <v>1107</v>
      </c>
      <c r="C36" s="104"/>
      <c r="D36" s="104"/>
      <c r="E36" s="107"/>
      <c r="F36" s="106">
        <f>F30+F31+F32+F33+F34+F35</f>
        <v>1923.4345831515309</v>
      </c>
    </row>
    <row r="37" spans="1:6" ht="15.75" customHeight="1">
      <c r="A37" s="104" t="s">
        <v>1106</v>
      </c>
      <c r="B37" s="104" t="s">
        <v>1105</v>
      </c>
      <c r="C37" s="104"/>
      <c r="D37" s="104"/>
      <c r="E37" s="108">
        <v>1</v>
      </c>
      <c r="F37" s="106">
        <f>F31*E37</f>
        <v>159.18295677900002</v>
      </c>
    </row>
    <row r="38" spans="1:6" ht="13.5" customHeight="1">
      <c r="A38" s="104"/>
      <c r="B38" s="104"/>
      <c r="C38" s="104"/>
      <c r="D38" s="104"/>
      <c r="E38" s="108">
        <v>0.8</v>
      </c>
      <c r="F38" s="106">
        <f>F31*E38</f>
        <v>127.34636542320003</v>
      </c>
    </row>
    <row r="39" spans="1:6" ht="15" customHeight="1">
      <c r="A39" s="104" t="s">
        <v>1104</v>
      </c>
      <c r="B39" s="104" t="s">
        <v>1103</v>
      </c>
      <c r="C39" s="104"/>
      <c r="D39" s="104"/>
      <c r="E39" s="107"/>
      <c r="F39" s="106">
        <f>F36+F37</f>
        <v>2082.6175399305307</v>
      </c>
    </row>
    <row r="40" spans="1:6" ht="15.75" customHeight="1">
      <c r="A40" s="104"/>
      <c r="B40" s="104"/>
      <c r="C40" s="104"/>
      <c r="D40" s="104"/>
      <c r="E40" s="107"/>
      <c r="F40" s="106">
        <f>F36+F38</f>
        <v>2050.7809485747307</v>
      </c>
    </row>
    <row r="41" spans="1:6" ht="17.25" customHeight="1">
      <c r="A41" s="104" t="s">
        <v>1102</v>
      </c>
      <c r="B41" s="104" t="s">
        <v>83</v>
      </c>
      <c r="C41" s="104"/>
      <c r="D41" s="104"/>
      <c r="E41" s="108">
        <v>0.4</v>
      </c>
      <c r="F41" s="106">
        <f>F39*E41</f>
        <v>833.04701597221231</v>
      </c>
    </row>
    <row r="42" spans="1:6" ht="18" customHeight="1">
      <c r="A42" s="104"/>
      <c r="B42" s="104"/>
      <c r="C42" s="104"/>
      <c r="D42" s="104"/>
      <c r="E42" s="108">
        <v>7.0000000000000007E-2</v>
      </c>
      <c r="F42" s="106">
        <f>F39*E42</f>
        <v>145.78322779513715</v>
      </c>
    </row>
    <row r="43" spans="1:6" ht="16.5" customHeight="1">
      <c r="A43" s="104" t="s">
        <v>1101</v>
      </c>
      <c r="B43" s="104" t="s">
        <v>1100</v>
      </c>
      <c r="C43" s="104"/>
      <c r="D43" s="104"/>
      <c r="E43" s="107"/>
      <c r="F43" s="106">
        <v>155.83000000000001</v>
      </c>
    </row>
    <row r="44" spans="1:6" ht="16.5" customHeight="1">
      <c r="A44" s="104"/>
      <c r="B44" s="104" t="s">
        <v>1099</v>
      </c>
      <c r="C44" s="104"/>
      <c r="D44" s="104"/>
      <c r="E44" s="107"/>
      <c r="F44" s="106">
        <f>F39+F41+F43</f>
        <v>3071.4945559027428</v>
      </c>
    </row>
    <row r="45" spans="1:6" ht="13.5" customHeight="1">
      <c r="A45" s="104"/>
      <c r="B45" s="104"/>
      <c r="C45" s="104"/>
      <c r="D45" s="104"/>
      <c r="E45" s="107"/>
      <c r="F45" s="106">
        <f>F40+F42+F43</f>
        <v>2352.3941763698676</v>
      </c>
    </row>
    <row r="46" spans="1:6" ht="13.5" customHeight="1">
      <c r="A46" s="104"/>
      <c r="B46" s="104" t="s">
        <v>1098</v>
      </c>
      <c r="C46" s="104"/>
      <c r="D46" s="104"/>
      <c r="E46" s="108">
        <v>0.22</v>
      </c>
      <c r="F46" s="106">
        <f>F44*E46</f>
        <v>675.72880229860345</v>
      </c>
    </row>
    <row r="47" spans="1:6" ht="12.75" customHeight="1">
      <c r="A47" s="104"/>
      <c r="B47" s="104"/>
      <c r="C47" s="104"/>
      <c r="D47" s="104"/>
      <c r="E47" s="108">
        <v>0.22</v>
      </c>
      <c r="F47" s="106">
        <f>F45*E47</f>
        <v>517.52671880137086</v>
      </c>
    </row>
    <row r="48" spans="1:6" ht="14.25" customHeight="1">
      <c r="A48" s="104"/>
      <c r="B48" s="105" t="s">
        <v>1097</v>
      </c>
      <c r="C48" s="104"/>
      <c r="D48" s="104"/>
      <c r="E48" s="103" t="s">
        <v>1096</v>
      </c>
      <c r="F48" s="102">
        <f>F44+F46</f>
        <v>3747.2233582013464</v>
      </c>
    </row>
    <row r="49" spans="1:6" ht="16.5" customHeight="1">
      <c r="A49" s="104"/>
      <c r="B49" s="104"/>
      <c r="C49" s="104"/>
      <c r="D49" s="104"/>
      <c r="E49" s="103" t="s">
        <v>1095</v>
      </c>
      <c r="F49" s="102">
        <f>F45+F47</f>
        <v>2869.9208951712385</v>
      </c>
    </row>
    <row r="50" spans="1:6" ht="11" customHeight="1"/>
    <row r="51" spans="1:6" ht="11" customHeight="1"/>
    <row r="52" spans="1:6" ht="11" customHeight="1">
      <c r="B52" s="101" t="s">
        <v>1094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pageOrder="overThenDown"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  <pageSetUpPr autoPageBreaks="0"/>
  </sheetPr>
  <dimension ref="A1:F51"/>
  <sheetViews>
    <sheetView topLeftCell="A7" workbookViewId="0">
      <selection activeCell="F38" sqref="F38"/>
    </sheetView>
  </sheetViews>
  <sheetFormatPr baseColWidth="10" defaultColWidth="9" defaultRowHeight="11.5" customHeight="1"/>
  <cols>
    <col min="1" max="1" width="5.5" style="101" customWidth="1"/>
    <col min="2" max="2" width="42.1640625" style="101" customWidth="1"/>
    <col min="3" max="3" width="12.5" style="101" customWidth="1"/>
    <col min="4" max="4" width="8.5" style="101" customWidth="1"/>
    <col min="5" max="5" width="9.5" style="101" customWidth="1"/>
    <col min="6" max="6" width="14.1640625" style="101" customWidth="1"/>
    <col min="7" max="16384" width="9" style="100"/>
  </cols>
  <sheetData>
    <row r="1" spans="1:6" ht="11" customHeight="1">
      <c r="F1" s="126" t="s">
        <v>1161</v>
      </c>
    </row>
    <row r="2" spans="1:6" ht="11" customHeight="1">
      <c r="F2" s="126" t="s">
        <v>1160</v>
      </c>
    </row>
    <row r="3" spans="1:6" ht="11" customHeight="1">
      <c r="F3" s="126" t="s">
        <v>1159</v>
      </c>
    </row>
    <row r="4" spans="1:6" ht="11" customHeight="1">
      <c r="F4" s="126" t="s">
        <v>1158</v>
      </c>
    </row>
    <row r="5" spans="1:6" ht="16" customHeight="1">
      <c r="A5" s="125" t="s">
        <v>1157</v>
      </c>
      <c r="F5" s="124" t="s">
        <v>1156</v>
      </c>
    </row>
    <row r="6" spans="1:6" ht="11" customHeight="1"/>
    <row r="7" spans="1:6" ht="13" customHeight="1">
      <c r="A7" s="358" t="s">
        <v>1199</v>
      </c>
      <c r="B7" s="358"/>
      <c r="C7" s="358"/>
      <c r="D7" s="358"/>
      <c r="E7" s="358"/>
      <c r="F7" s="358"/>
    </row>
    <row r="8" spans="1:6" s="123" customFormat="1" ht="3" customHeight="1"/>
    <row r="9" spans="1:6" ht="11" customHeight="1">
      <c r="A9" s="107" t="s">
        <v>1154</v>
      </c>
      <c r="B9" s="107" t="s">
        <v>1153</v>
      </c>
      <c r="C9" s="107" t="s">
        <v>1152</v>
      </c>
      <c r="D9" s="107" t="s">
        <v>1151</v>
      </c>
      <c r="E9" s="107" t="s">
        <v>1239</v>
      </c>
      <c r="F9" s="107" t="s">
        <v>1240</v>
      </c>
    </row>
    <row r="10" spans="1:6" ht="23" customHeight="1">
      <c r="A10" s="121">
        <v>1</v>
      </c>
      <c r="B10" s="120" t="s">
        <v>1241</v>
      </c>
      <c r="C10" s="119" t="s">
        <v>1191</v>
      </c>
      <c r="D10" s="131">
        <v>0.01</v>
      </c>
      <c r="E10" s="107">
        <v>616.66999999999996</v>
      </c>
      <c r="F10" s="116">
        <f t="shared" ref="F10:F26" si="0">E10*D10</f>
        <v>6.1666999999999996</v>
      </c>
    </row>
    <row r="11" spans="1:6" ht="11" customHeight="1">
      <c r="A11" s="121">
        <v>5</v>
      </c>
      <c r="B11" s="120" t="s">
        <v>1197</v>
      </c>
      <c r="C11" s="119" t="s">
        <v>1140</v>
      </c>
      <c r="D11" s="131" t="s">
        <v>1142</v>
      </c>
      <c r="E11" s="107">
        <v>440.83</v>
      </c>
      <c r="F11" s="116">
        <f t="shared" si="0"/>
        <v>440.83</v>
      </c>
    </row>
    <row r="12" spans="1:6" ht="11" customHeight="1">
      <c r="A12" s="121">
        <v>6</v>
      </c>
      <c r="B12" s="120" t="s">
        <v>1184</v>
      </c>
      <c r="C12" s="119" t="s">
        <v>1140</v>
      </c>
      <c r="D12" s="131" t="s">
        <v>1142</v>
      </c>
      <c r="E12" s="107"/>
      <c r="F12" s="116">
        <f t="shared" si="0"/>
        <v>0</v>
      </c>
    </row>
    <row r="13" spans="1:6" ht="11" customHeight="1">
      <c r="A13" s="121">
        <v>7</v>
      </c>
      <c r="B13" s="120" t="s">
        <v>1141</v>
      </c>
      <c r="C13" s="119" t="s">
        <v>1140</v>
      </c>
      <c r="D13" s="131" t="s">
        <v>1142</v>
      </c>
      <c r="E13" s="107"/>
      <c r="F13" s="116">
        <f t="shared" si="0"/>
        <v>0</v>
      </c>
    </row>
    <row r="14" spans="1:6" ht="11" customHeight="1">
      <c r="A14" s="121">
        <v>8</v>
      </c>
      <c r="B14" s="120" t="s">
        <v>1255</v>
      </c>
      <c r="C14" s="119" t="s">
        <v>1140</v>
      </c>
      <c r="D14" s="131" t="s">
        <v>1142</v>
      </c>
      <c r="E14" s="107">
        <v>40</v>
      </c>
      <c r="F14" s="107">
        <f t="shared" si="0"/>
        <v>40</v>
      </c>
    </row>
    <row r="15" spans="1:6" ht="11" customHeight="1">
      <c r="A15" s="121">
        <v>9</v>
      </c>
      <c r="B15" s="120" t="s">
        <v>1135</v>
      </c>
      <c r="C15" s="119" t="s">
        <v>1120</v>
      </c>
      <c r="D15" s="131">
        <v>8.2000000000000003E-2</v>
      </c>
      <c r="E15" s="107">
        <v>202.75</v>
      </c>
      <c r="F15" s="116">
        <f t="shared" si="0"/>
        <v>16.625500000000002</v>
      </c>
    </row>
    <row r="16" spans="1:6" ht="11" customHeight="1">
      <c r="A16" s="121">
        <v>10</v>
      </c>
      <c r="B16" s="120" t="s">
        <v>1243</v>
      </c>
      <c r="C16" s="119" t="s">
        <v>1120</v>
      </c>
      <c r="D16" s="131">
        <v>8.3879999999999999</v>
      </c>
      <c r="E16" s="107">
        <v>69.58</v>
      </c>
      <c r="F16" s="116">
        <f t="shared" si="0"/>
        <v>583.63703999999996</v>
      </c>
    </row>
    <row r="17" spans="1:6" ht="11" customHeight="1">
      <c r="A17" s="121">
        <v>11</v>
      </c>
      <c r="B17" s="120" t="s">
        <v>1176</v>
      </c>
      <c r="C17" s="119" t="s">
        <v>1140</v>
      </c>
      <c r="D17" s="131" t="s">
        <v>1115</v>
      </c>
      <c r="E17" s="107">
        <v>18.95</v>
      </c>
      <c r="F17" s="107">
        <f t="shared" si="0"/>
        <v>37.9</v>
      </c>
    </row>
    <row r="18" spans="1:6" ht="11" customHeight="1">
      <c r="A18" s="121">
        <v>12</v>
      </c>
      <c r="B18" s="120" t="s">
        <v>1195</v>
      </c>
      <c r="C18" s="119" t="s">
        <v>1140</v>
      </c>
      <c r="D18" s="131" t="s">
        <v>1115</v>
      </c>
      <c r="E18" s="107">
        <v>25.73</v>
      </c>
      <c r="F18" s="107">
        <f t="shared" si="0"/>
        <v>51.46</v>
      </c>
    </row>
    <row r="19" spans="1:6" ht="11" customHeight="1">
      <c r="A19" s="121">
        <v>13</v>
      </c>
      <c r="B19" s="120" t="s">
        <v>1196</v>
      </c>
      <c r="C19" s="119" t="s">
        <v>1120</v>
      </c>
      <c r="D19" s="131">
        <v>0.37</v>
      </c>
      <c r="E19" s="107">
        <v>296.62</v>
      </c>
      <c r="F19" s="116">
        <f t="shared" si="0"/>
        <v>109.74939999999999</v>
      </c>
    </row>
    <row r="20" spans="1:6" ht="11" customHeight="1">
      <c r="A20" s="121">
        <v>14</v>
      </c>
      <c r="B20" s="120" t="s">
        <v>1180</v>
      </c>
      <c r="C20" s="119" t="s">
        <v>1140</v>
      </c>
      <c r="D20" s="131">
        <v>0.24099999999999999</v>
      </c>
      <c r="E20" s="107">
        <v>64.680000000000007</v>
      </c>
      <c r="F20" s="116">
        <f t="shared" si="0"/>
        <v>15.587880000000002</v>
      </c>
    </row>
    <row r="21" spans="1:6" ht="11" customHeight="1">
      <c r="A21" s="121">
        <v>15</v>
      </c>
      <c r="B21" s="120" t="s">
        <v>1179</v>
      </c>
      <c r="C21" s="119" t="s">
        <v>1140</v>
      </c>
      <c r="D21" s="131">
        <v>2.1999999999999999E-2</v>
      </c>
      <c r="E21" s="107">
        <v>1000</v>
      </c>
      <c r="F21" s="116">
        <f t="shared" si="0"/>
        <v>22</v>
      </c>
    </row>
    <row r="22" spans="1:6" ht="11" customHeight="1">
      <c r="A22" s="121">
        <v>16</v>
      </c>
      <c r="B22" s="120" t="s">
        <v>1244</v>
      </c>
      <c r="C22" s="119" t="s">
        <v>1120</v>
      </c>
      <c r="D22" s="131">
        <v>0.214</v>
      </c>
      <c r="E22" s="107">
        <v>158.33000000000001</v>
      </c>
      <c r="F22" s="116">
        <f t="shared" si="0"/>
        <v>33.882620000000003</v>
      </c>
    </row>
    <row r="23" spans="1:6" ht="11" customHeight="1">
      <c r="A23" s="121">
        <v>17</v>
      </c>
      <c r="B23" s="120" t="s">
        <v>1253</v>
      </c>
      <c r="C23" s="119" t="s">
        <v>1120</v>
      </c>
      <c r="D23" s="131">
        <v>0.12</v>
      </c>
      <c r="E23" s="107">
        <v>158.33000000000001</v>
      </c>
      <c r="F23" s="116">
        <f t="shared" si="0"/>
        <v>18.999600000000001</v>
      </c>
    </row>
    <row r="24" spans="1:6" ht="11" customHeight="1">
      <c r="A24" s="121">
        <v>18</v>
      </c>
      <c r="B24" s="120" t="s">
        <v>1194</v>
      </c>
      <c r="C24" s="119" t="s">
        <v>1120</v>
      </c>
      <c r="D24" s="131">
        <v>2.5310000000000001</v>
      </c>
      <c r="E24" s="107">
        <v>53.33</v>
      </c>
      <c r="F24" s="116">
        <f t="shared" si="0"/>
        <v>134.97823</v>
      </c>
    </row>
    <row r="25" spans="1:6" ht="11" customHeight="1">
      <c r="A25" s="121">
        <v>19</v>
      </c>
      <c r="B25" s="120" t="s">
        <v>1254</v>
      </c>
      <c r="C25" s="119" t="s">
        <v>1120</v>
      </c>
      <c r="D25" s="131">
        <v>0.313</v>
      </c>
      <c r="E25" s="107">
        <v>69.17</v>
      </c>
      <c r="F25" s="116">
        <f t="shared" si="0"/>
        <v>21.650210000000001</v>
      </c>
    </row>
    <row r="26" spans="1:6" ht="11" customHeight="1">
      <c r="A26" s="121">
        <v>20</v>
      </c>
      <c r="B26" s="120" t="s">
        <v>1121</v>
      </c>
      <c r="C26" s="119" t="s">
        <v>1120</v>
      </c>
      <c r="D26" s="131">
        <v>1.4E-2</v>
      </c>
      <c r="E26" s="107">
        <v>290</v>
      </c>
      <c r="F26" s="116">
        <f t="shared" si="0"/>
        <v>4.0600000000000005</v>
      </c>
    </row>
    <row r="27" spans="1:6" ht="19.5" customHeight="1">
      <c r="A27" s="118"/>
      <c r="B27" s="105" t="s">
        <v>1118</v>
      </c>
      <c r="C27" s="105"/>
      <c r="D27" s="105"/>
      <c r="E27" s="105"/>
      <c r="F27" s="114">
        <f>SUM(F10:F26)</f>
        <v>1537.52718</v>
      </c>
    </row>
    <row r="28" spans="1:6" ht="17.25" customHeight="1">
      <c r="A28" s="117"/>
      <c r="B28" s="104" t="s">
        <v>1117</v>
      </c>
      <c r="C28" s="104"/>
      <c r="D28" s="104"/>
      <c r="E28" s="108">
        <v>0.01</v>
      </c>
      <c r="F28" s="116">
        <f>F27*E28</f>
        <v>15.3752718</v>
      </c>
    </row>
    <row r="29" spans="1:6" ht="19.5" customHeight="1">
      <c r="A29" s="115"/>
      <c r="B29" s="105" t="s">
        <v>1116</v>
      </c>
      <c r="C29" s="105"/>
      <c r="D29" s="105"/>
      <c r="E29" s="105"/>
      <c r="F29" s="114">
        <f>SUM(F27,F28)</f>
        <v>1552.9024518000001</v>
      </c>
    </row>
    <row r="30" spans="1:6" ht="15" customHeight="1">
      <c r="A30" s="104" t="s">
        <v>1115</v>
      </c>
      <c r="B30" s="104" t="s">
        <v>1114</v>
      </c>
      <c r="C30" s="104"/>
      <c r="D30" s="104"/>
      <c r="E30" s="108">
        <v>0.11</v>
      </c>
      <c r="F30" s="106">
        <f>F29*E30</f>
        <v>170.819269698</v>
      </c>
    </row>
    <row r="31" spans="1:6" ht="15.75" customHeight="1">
      <c r="A31" s="104"/>
      <c r="B31" s="109" t="s">
        <v>1113</v>
      </c>
      <c r="C31" s="104"/>
      <c r="D31" s="104"/>
      <c r="E31" s="108">
        <v>0.14000000000000001</v>
      </c>
      <c r="F31" s="106">
        <f>F30*E31</f>
        <v>23.914697757720003</v>
      </c>
    </row>
    <row r="32" spans="1:6" ht="16.5" customHeight="1">
      <c r="A32" s="104"/>
      <c r="B32" s="109" t="s">
        <v>1112</v>
      </c>
      <c r="C32" s="104"/>
      <c r="D32" s="104"/>
      <c r="E32" s="111">
        <v>0.309</v>
      </c>
      <c r="F32" s="106">
        <f>(F30+F31)*E32</f>
        <v>60.172795943817484</v>
      </c>
    </row>
    <row r="33" spans="1:6" ht="15.75" customHeight="1">
      <c r="A33" s="104"/>
      <c r="B33" s="109" t="s">
        <v>1111</v>
      </c>
      <c r="C33" s="104"/>
      <c r="D33" s="104"/>
      <c r="E33" s="107"/>
      <c r="F33" s="106"/>
    </row>
    <row r="34" spans="1:6" ht="16.5" customHeight="1">
      <c r="A34" s="104" t="s">
        <v>1110</v>
      </c>
      <c r="B34" s="109" t="s">
        <v>1109</v>
      </c>
      <c r="C34" s="104"/>
      <c r="D34" s="104"/>
      <c r="E34" s="108">
        <v>1.5</v>
      </c>
      <c r="F34" s="106">
        <f>F30*E34</f>
        <v>256.22890454700001</v>
      </c>
    </row>
    <row r="35" spans="1:6" ht="16.5" customHeight="1">
      <c r="A35" s="104" t="s">
        <v>1108</v>
      </c>
      <c r="B35" s="104" t="s">
        <v>1107</v>
      </c>
      <c r="C35" s="104"/>
      <c r="D35" s="104"/>
      <c r="E35" s="107"/>
      <c r="F35" s="106">
        <f>F29+F30+F31+F32+F33+F34</f>
        <v>2064.0381197465376</v>
      </c>
    </row>
    <row r="36" spans="1:6" ht="15.75" customHeight="1">
      <c r="A36" s="104" t="s">
        <v>1106</v>
      </c>
      <c r="B36" s="104" t="s">
        <v>1105</v>
      </c>
      <c r="C36" s="104"/>
      <c r="D36" s="104"/>
      <c r="E36" s="108">
        <v>1</v>
      </c>
      <c r="F36" s="106">
        <f>F30*E36</f>
        <v>170.819269698</v>
      </c>
    </row>
    <row r="37" spans="1:6" ht="13.5" customHeight="1">
      <c r="A37" s="104"/>
      <c r="B37" s="104"/>
      <c r="C37" s="104"/>
      <c r="D37" s="104"/>
      <c r="E37" s="108">
        <v>0.8</v>
      </c>
      <c r="F37" s="106">
        <f>F30*E37</f>
        <v>136.65541575840001</v>
      </c>
    </row>
    <row r="38" spans="1:6" ht="15" customHeight="1">
      <c r="A38" s="104" t="s">
        <v>1104</v>
      </c>
      <c r="B38" s="104" t="s">
        <v>1103</v>
      </c>
      <c r="C38" s="104"/>
      <c r="D38" s="104"/>
      <c r="E38" s="107"/>
      <c r="F38" s="106">
        <f>F35+F36</f>
        <v>2234.8573894445376</v>
      </c>
    </row>
    <row r="39" spans="1:6" ht="15.75" customHeight="1">
      <c r="A39" s="104"/>
      <c r="B39" s="104"/>
      <c r="C39" s="104"/>
      <c r="D39" s="104"/>
      <c r="E39" s="107"/>
      <c r="F39" s="106">
        <f>F35+F37</f>
        <v>2200.6935355049377</v>
      </c>
    </row>
    <row r="40" spans="1:6" ht="17.25" customHeight="1">
      <c r="A40" s="104" t="s">
        <v>1102</v>
      </c>
      <c r="B40" s="104" t="s">
        <v>83</v>
      </c>
      <c r="C40" s="104"/>
      <c r="D40" s="104"/>
      <c r="E40" s="108">
        <v>0.4</v>
      </c>
      <c r="F40" s="106">
        <f>F38*E40</f>
        <v>893.94295577781509</v>
      </c>
    </row>
    <row r="41" spans="1:6" ht="18" customHeight="1">
      <c r="A41" s="104"/>
      <c r="B41" s="104"/>
      <c r="C41" s="104"/>
      <c r="D41" s="104"/>
      <c r="E41" s="108">
        <v>7.0000000000000007E-2</v>
      </c>
      <c r="F41" s="106">
        <f>F38*E41</f>
        <v>156.44001726111765</v>
      </c>
    </row>
    <row r="42" spans="1:6" ht="16.5" customHeight="1">
      <c r="A42" s="104" t="s">
        <v>1101</v>
      </c>
      <c r="B42" s="104" t="s">
        <v>1100</v>
      </c>
      <c r="C42" s="104"/>
      <c r="D42" s="104"/>
      <c r="E42" s="107"/>
      <c r="F42" s="106">
        <v>155.83000000000001</v>
      </c>
    </row>
    <row r="43" spans="1:6" ht="16.5" customHeight="1">
      <c r="A43" s="104"/>
      <c r="B43" s="104" t="s">
        <v>1099</v>
      </c>
      <c r="C43" s="104"/>
      <c r="D43" s="104"/>
      <c r="E43" s="107"/>
      <c r="F43" s="106">
        <f>F38+F40+F42</f>
        <v>3284.6303452223528</v>
      </c>
    </row>
    <row r="44" spans="1:6" ht="13.5" customHeight="1">
      <c r="A44" s="104"/>
      <c r="B44" s="104"/>
      <c r="C44" s="104"/>
      <c r="D44" s="104"/>
      <c r="E44" s="107"/>
      <c r="F44" s="106">
        <f>F39+F41+F42</f>
        <v>2512.9635527660553</v>
      </c>
    </row>
    <row r="45" spans="1:6" ht="13.5" customHeight="1">
      <c r="A45" s="104"/>
      <c r="B45" s="104" t="s">
        <v>1098</v>
      </c>
      <c r="C45" s="104"/>
      <c r="D45" s="104"/>
      <c r="E45" s="108">
        <v>0.22</v>
      </c>
      <c r="F45" s="106">
        <f>F43*E45</f>
        <v>722.6186759489176</v>
      </c>
    </row>
    <row r="46" spans="1:6" ht="12.75" customHeight="1">
      <c r="A46" s="104"/>
      <c r="B46" s="104"/>
      <c r="C46" s="104"/>
      <c r="D46" s="104"/>
      <c r="E46" s="108">
        <v>0.22</v>
      </c>
      <c r="F46" s="106">
        <f>F44*E46</f>
        <v>552.85198160853213</v>
      </c>
    </row>
    <row r="47" spans="1:6" ht="14.25" customHeight="1">
      <c r="A47" s="104"/>
      <c r="B47" s="105" t="s">
        <v>1097</v>
      </c>
      <c r="C47" s="104"/>
      <c r="D47" s="104"/>
      <c r="E47" s="103" t="s">
        <v>1096</v>
      </c>
      <c r="F47" s="102">
        <f>F43+F45</f>
        <v>4007.2490211712702</v>
      </c>
    </row>
    <row r="48" spans="1:6" ht="16.5" customHeight="1">
      <c r="A48" s="104"/>
      <c r="B48" s="104"/>
      <c r="C48" s="104"/>
      <c r="D48" s="104"/>
      <c r="E48" s="103" t="s">
        <v>1095</v>
      </c>
      <c r="F48" s="102">
        <f>F44+F46</f>
        <v>3065.8155343745875</v>
      </c>
    </row>
    <row r="49" spans="2:2" ht="11" customHeight="1"/>
    <row r="50" spans="2:2" ht="11" customHeight="1"/>
    <row r="51" spans="2:2" ht="11" customHeight="1">
      <c r="B51" s="101" t="s">
        <v>1094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pageOrder="overThenDown" orientation="portrait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  <pageSetUpPr autoPageBreaks="0"/>
  </sheetPr>
  <dimension ref="A1:F46"/>
  <sheetViews>
    <sheetView topLeftCell="A4" zoomScale="120" zoomScaleNormal="120" workbookViewId="0">
      <selection activeCell="F33" sqref="F33"/>
    </sheetView>
  </sheetViews>
  <sheetFormatPr baseColWidth="10" defaultColWidth="9" defaultRowHeight="11.5" customHeight="1"/>
  <cols>
    <col min="1" max="1" width="5.5" style="101" customWidth="1"/>
    <col min="2" max="2" width="42.1640625" style="101" customWidth="1"/>
    <col min="3" max="3" width="12.5" style="101" customWidth="1"/>
    <col min="4" max="4" width="8.5" style="101" customWidth="1"/>
    <col min="5" max="5" width="9.5" style="101" customWidth="1"/>
    <col min="6" max="6" width="14.1640625" style="101" customWidth="1"/>
    <col min="7" max="16384" width="9" style="100"/>
  </cols>
  <sheetData>
    <row r="1" spans="1:6" ht="11" customHeight="1">
      <c r="F1" s="126" t="s">
        <v>1161</v>
      </c>
    </row>
    <row r="2" spans="1:6" ht="11" customHeight="1">
      <c r="F2" s="126" t="s">
        <v>1160</v>
      </c>
    </row>
    <row r="3" spans="1:6" ht="11" customHeight="1">
      <c r="F3" s="126" t="s">
        <v>1159</v>
      </c>
    </row>
    <row r="4" spans="1:6" ht="11" customHeight="1">
      <c r="F4" s="126" t="s">
        <v>1158</v>
      </c>
    </row>
    <row r="5" spans="1:6" ht="16" customHeight="1">
      <c r="A5" s="125" t="s">
        <v>1157</v>
      </c>
      <c r="F5" s="124" t="s">
        <v>1156</v>
      </c>
    </row>
    <row r="6" spans="1:6" ht="11" customHeight="1"/>
    <row r="7" spans="1:6" ht="13" customHeight="1">
      <c r="A7" s="358" t="s">
        <v>102</v>
      </c>
      <c r="B7" s="358"/>
      <c r="C7" s="358"/>
      <c r="D7" s="358"/>
      <c r="E7" s="358"/>
      <c r="F7" s="358"/>
    </row>
    <row r="8" spans="1:6" s="123" customFormat="1" ht="3" customHeight="1"/>
    <row r="9" spans="1:6" ht="11" customHeight="1">
      <c r="A9" s="107" t="s">
        <v>1154</v>
      </c>
      <c r="B9" s="107" t="s">
        <v>1153</v>
      </c>
      <c r="C9" s="107" t="s">
        <v>1152</v>
      </c>
      <c r="D9" s="107" t="s">
        <v>1151</v>
      </c>
      <c r="E9" s="107" t="s">
        <v>1239</v>
      </c>
      <c r="F9" s="107" t="s">
        <v>1240</v>
      </c>
    </row>
    <row r="10" spans="1:6" ht="23" customHeight="1">
      <c r="A10" s="121">
        <v>1</v>
      </c>
      <c r="B10" s="120" t="s">
        <v>1242</v>
      </c>
      <c r="C10" s="119" t="s">
        <v>1191</v>
      </c>
      <c r="D10" s="107">
        <v>1E-3</v>
      </c>
      <c r="E10" s="107">
        <v>468.33</v>
      </c>
      <c r="F10" s="107">
        <f t="shared" ref="F10:F21" si="0">E10*D10</f>
        <v>0.46832999999999997</v>
      </c>
    </row>
    <row r="11" spans="1:6" ht="11" customHeight="1">
      <c r="A11" s="121">
        <v>2</v>
      </c>
      <c r="B11" s="120" t="s">
        <v>1144</v>
      </c>
      <c r="C11" s="119" t="s">
        <v>1140</v>
      </c>
      <c r="D11" s="107" t="s">
        <v>1142</v>
      </c>
      <c r="E11" s="107">
        <v>1.4</v>
      </c>
      <c r="F11" s="107">
        <f t="shared" si="0"/>
        <v>1.4</v>
      </c>
    </row>
    <row r="12" spans="1:6" ht="11" customHeight="1">
      <c r="A12" s="121">
        <v>3</v>
      </c>
      <c r="B12" s="120" t="s">
        <v>1251</v>
      </c>
      <c r="C12" s="119" t="s">
        <v>1140</v>
      </c>
      <c r="D12" s="107" t="s">
        <v>1115</v>
      </c>
      <c r="E12" s="107">
        <v>0.24</v>
      </c>
      <c r="F12" s="107">
        <f t="shared" si="0"/>
        <v>0.48</v>
      </c>
    </row>
    <row r="13" spans="1:6" ht="11" customHeight="1">
      <c r="A13" s="121">
        <v>4</v>
      </c>
      <c r="B13" s="120" t="s">
        <v>1256</v>
      </c>
      <c r="C13" s="119" t="s">
        <v>1140</v>
      </c>
      <c r="D13" s="107" t="s">
        <v>1202</v>
      </c>
      <c r="E13" s="107">
        <v>0.52</v>
      </c>
      <c r="F13" s="107">
        <f t="shared" si="0"/>
        <v>14.56</v>
      </c>
    </row>
    <row r="14" spans="1:6" ht="11" customHeight="1">
      <c r="A14" s="121">
        <v>5</v>
      </c>
      <c r="B14" s="120" t="s">
        <v>1184</v>
      </c>
      <c r="C14" s="119" t="s">
        <v>1140</v>
      </c>
      <c r="D14" s="107" t="s">
        <v>1142</v>
      </c>
      <c r="E14" s="107"/>
      <c r="F14" s="107">
        <f t="shared" si="0"/>
        <v>0</v>
      </c>
    </row>
    <row r="15" spans="1:6" ht="11" customHeight="1">
      <c r="A15" s="121">
        <v>6</v>
      </c>
      <c r="B15" s="120" t="s">
        <v>1201</v>
      </c>
      <c r="C15" s="119" t="s">
        <v>1140</v>
      </c>
      <c r="D15" s="107" t="s">
        <v>1115</v>
      </c>
      <c r="E15" s="107">
        <v>2.98</v>
      </c>
      <c r="F15" s="107">
        <f t="shared" si="0"/>
        <v>5.96</v>
      </c>
    </row>
    <row r="16" spans="1:6" ht="11" customHeight="1">
      <c r="A16" s="121">
        <v>7</v>
      </c>
      <c r="B16" s="120" t="s">
        <v>1257</v>
      </c>
      <c r="C16" s="119" t="s">
        <v>1140</v>
      </c>
      <c r="D16" s="107" t="s">
        <v>1108</v>
      </c>
      <c r="E16" s="107">
        <v>0.24</v>
      </c>
      <c r="F16" s="107">
        <f t="shared" si="0"/>
        <v>0.96</v>
      </c>
    </row>
    <row r="17" spans="1:6" ht="11" customHeight="1">
      <c r="A17" s="121">
        <v>8</v>
      </c>
      <c r="B17" s="120" t="s">
        <v>1255</v>
      </c>
      <c r="C17" s="119" t="s">
        <v>1140</v>
      </c>
      <c r="D17" s="107" t="s">
        <v>1142</v>
      </c>
      <c r="E17" s="107">
        <v>40</v>
      </c>
      <c r="F17" s="107">
        <f t="shared" si="0"/>
        <v>40</v>
      </c>
    </row>
    <row r="18" spans="1:6" ht="11" customHeight="1">
      <c r="A18" s="121">
        <v>9</v>
      </c>
      <c r="B18" s="120" t="s">
        <v>1200</v>
      </c>
      <c r="C18" s="119" t="s">
        <v>1177</v>
      </c>
      <c r="D18" s="107">
        <v>4.0000000000000001E-3</v>
      </c>
      <c r="E18" s="107">
        <v>278.33</v>
      </c>
      <c r="F18" s="107">
        <f t="shared" si="0"/>
        <v>1.1133199999999999</v>
      </c>
    </row>
    <row r="19" spans="1:6" ht="11" customHeight="1">
      <c r="A19" s="121">
        <v>10</v>
      </c>
      <c r="B19" s="120" t="s">
        <v>1135</v>
      </c>
      <c r="C19" s="119" t="s">
        <v>1120</v>
      </c>
      <c r="D19" s="107">
        <v>0.16900000000000001</v>
      </c>
      <c r="E19" s="107">
        <v>202.75</v>
      </c>
      <c r="F19" s="107">
        <f t="shared" si="0"/>
        <v>34.264749999999999</v>
      </c>
    </row>
    <row r="20" spans="1:6" ht="11" customHeight="1">
      <c r="A20" s="121">
        <v>11</v>
      </c>
      <c r="B20" s="120" t="s">
        <v>1258</v>
      </c>
      <c r="C20" s="119" t="s">
        <v>1120</v>
      </c>
      <c r="D20" s="107">
        <v>2.8820000000000001</v>
      </c>
      <c r="E20" s="107">
        <v>70</v>
      </c>
      <c r="F20" s="107">
        <f t="shared" si="0"/>
        <v>201.74</v>
      </c>
    </row>
    <row r="21" spans="1:6" ht="11" customHeight="1">
      <c r="A21" s="121">
        <v>12</v>
      </c>
      <c r="B21" s="120" t="s">
        <v>1121</v>
      </c>
      <c r="C21" s="119" t="s">
        <v>1120</v>
      </c>
      <c r="D21" s="107">
        <v>7.0000000000000001E-3</v>
      </c>
      <c r="E21" s="107">
        <v>290</v>
      </c>
      <c r="F21" s="107">
        <f t="shared" si="0"/>
        <v>2.0300000000000002</v>
      </c>
    </row>
    <row r="22" spans="1:6" ht="24" customHeight="1">
      <c r="A22" s="118"/>
      <c r="B22" s="105" t="s">
        <v>1118</v>
      </c>
      <c r="C22" s="105"/>
      <c r="D22" s="105"/>
      <c r="E22" s="105"/>
      <c r="F22" s="103">
        <f>SUM(F10:F21)</f>
        <v>302.97640000000001</v>
      </c>
    </row>
    <row r="23" spans="1:6" ht="15.75" customHeight="1">
      <c r="A23" s="117"/>
      <c r="B23" s="104" t="s">
        <v>1117</v>
      </c>
      <c r="C23" s="104"/>
      <c r="D23" s="104"/>
      <c r="E23" s="108">
        <v>0.01</v>
      </c>
      <c r="F23" s="107">
        <f>F22*E23</f>
        <v>3.0297640000000001</v>
      </c>
    </row>
    <row r="24" spans="1:6" ht="14.25" customHeight="1">
      <c r="A24" s="115"/>
      <c r="B24" s="105" t="s">
        <v>1116</v>
      </c>
      <c r="C24" s="105"/>
      <c r="D24" s="105"/>
      <c r="E24" s="105"/>
      <c r="F24" s="103">
        <f>SUM(F22,F23)</f>
        <v>306.00616400000001</v>
      </c>
    </row>
    <row r="25" spans="1:6" ht="16.5" customHeight="1">
      <c r="A25" s="104" t="s">
        <v>1115</v>
      </c>
      <c r="B25" s="104" t="s">
        <v>1114</v>
      </c>
      <c r="C25" s="104"/>
      <c r="D25" s="104"/>
      <c r="E25" s="108">
        <v>0.11</v>
      </c>
      <c r="F25" s="134">
        <f>F24*E25</f>
        <v>33.660678040000001</v>
      </c>
    </row>
    <row r="26" spans="1:6" ht="17.25" customHeight="1">
      <c r="A26" s="104"/>
      <c r="B26" s="109" t="s">
        <v>1113</v>
      </c>
      <c r="C26" s="104"/>
      <c r="D26" s="104"/>
      <c r="E26" s="108">
        <v>0.14000000000000001</v>
      </c>
      <c r="F26" s="134">
        <f>F25*E26</f>
        <v>4.7124949256000006</v>
      </c>
    </row>
    <row r="27" spans="1:6" ht="18" customHeight="1">
      <c r="A27" s="104"/>
      <c r="B27" s="109" t="s">
        <v>1112</v>
      </c>
      <c r="C27" s="104"/>
      <c r="D27" s="104"/>
      <c r="E27" s="111">
        <v>0.309</v>
      </c>
      <c r="F27" s="134">
        <f>(F25+F26)*E27</f>
        <v>11.8573104463704</v>
      </c>
    </row>
    <row r="28" spans="1:6" ht="11" customHeight="1">
      <c r="A28" s="104"/>
      <c r="B28" s="109" t="s">
        <v>1111</v>
      </c>
      <c r="C28" s="104"/>
      <c r="D28" s="104"/>
      <c r="E28" s="107">
        <v>0</v>
      </c>
      <c r="F28" s="134">
        <v>0</v>
      </c>
    </row>
    <row r="29" spans="1:6" ht="18" customHeight="1">
      <c r="A29" s="104" t="s">
        <v>1110</v>
      </c>
      <c r="B29" s="109" t="s">
        <v>1109</v>
      </c>
      <c r="C29" s="104"/>
      <c r="D29" s="104"/>
      <c r="E29" s="108">
        <v>1.5</v>
      </c>
      <c r="F29" s="134">
        <f>F25*E29</f>
        <v>50.491017060000004</v>
      </c>
    </row>
    <row r="30" spans="1:6" ht="16.5" customHeight="1">
      <c r="A30" s="104" t="s">
        <v>1108</v>
      </c>
      <c r="B30" s="104" t="s">
        <v>1107</v>
      </c>
      <c r="C30" s="104"/>
      <c r="D30" s="104"/>
      <c r="E30" s="107"/>
      <c r="F30" s="134">
        <f>F24+F25+F26+F27+F28+F29</f>
        <v>406.7276644719704</v>
      </c>
    </row>
    <row r="31" spans="1:6" ht="18.75" customHeight="1">
      <c r="A31" s="104" t="s">
        <v>1106</v>
      </c>
      <c r="B31" s="104" t="s">
        <v>1105</v>
      </c>
      <c r="C31" s="104"/>
      <c r="D31" s="104"/>
      <c r="E31" s="108">
        <v>1</v>
      </c>
      <c r="F31" s="134">
        <f>F25*E31</f>
        <v>33.660678040000001</v>
      </c>
    </row>
    <row r="32" spans="1:6" ht="14.25" customHeight="1">
      <c r="A32" s="104"/>
      <c r="B32" s="104"/>
      <c r="C32" s="104"/>
      <c r="D32" s="104"/>
      <c r="E32" s="108">
        <v>0.8</v>
      </c>
      <c r="F32" s="121">
        <f>F25*E32</f>
        <v>26.928542432</v>
      </c>
    </row>
    <row r="33" spans="1:6" ht="15.75" customHeight="1">
      <c r="A33" s="104" t="s">
        <v>1104</v>
      </c>
      <c r="B33" s="104" t="s">
        <v>1103</v>
      </c>
      <c r="C33" s="104"/>
      <c r="D33" s="104"/>
      <c r="E33" s="107"/>
      <c r="F33" s="134">
        <f>F30+F31</f>
        <v>440.38834251197039</v>
      </c>
    </row>
    <row r="34" spans="1:6" ht="16.5" customHeight="1">
      <c r="A34" s="104"/>
      <c r="B34" s="104"/>
      <c r="C34" s="104"/>
      <c r="D34" s="104"/>
      <c r="E34" s="107"/>
      <c r="F34" s="134">
        <f>F30+F32</f>
        <v>433.65620690397043</v>
      </c>
    </row>
    <row r="35" spans="1:6" ht="16.5" customHeight="1">
      <c r="A35" s="104" t="s">
        <v>1102</v>
      </c>
      <c r="B35" s="104" t="s">
        <v>83</v>
      </c>
      <c r="C35" s="104"/>
      <c r="D35" s="104"/>
      <c r="E35" s="108">
        <v>0.4</v>
      </c>
      <c r="F35" s="134">
        <f>F33*E35</f>
        <v>176.15533700478818</v>
      </c>
    </row>
    <row r="36" spans="1:6" ht="14.25" customHeight="1">
      <c r="A36" s="104"/>
      <c r="B36" s="104"/>
      <c r="C36" s="104"/>
      <c r="D36" s="104"/>
      <c r="E36" s="108">
        <v>7.0000000000000007E-2</v>
      </c>
      <c r="F36" s="134">
        <f>F33*E36</f>
        <v>30.827183975837929</v>
      </c>
    </row>
    <row r="37" spans="1:6" ht="15" customHeight="1">
      <c r="A37" s="104" t="s">
        <v>1101</v>
      </c>
      <c r="B37" s="104" t="s">
        <v>1100</v>
      </c>
      <c r="C37" s="104"/>
      <c r="D37" s="104"/>
      <c r="E37" s="107"/>
      <c r="F37" s="134">
        <v>12.83</v>
      </c>
    </row>
    <row r="38" spans="1:6" ht="15.75" customHeight="1">
      <c r="A38" s="104"/>
      <c r="B38" s="104" t="s">
        <v>1099</v>
      </c>
      <c r="C38" s="104"/>
      <c r="D38" s="104"/>
      <c r="E38" s="107"/>
      <c r="F38" s="134">
        <f>F33+F35+F37</f>
        <v>629.37367951675867</v>
      </c>
    </row>
    <row r="39" spans="1:6" ht="15" customHeight="1">
      <c r="A39" s="104"/>
      <c r="B39" s="104"/>
      <c r="C39" s="104"/>
      <c r="D39" s="104"/>
      <c r="E39" s="107"/>
      <c r="F39" s="134">
        <f>F34+F36+F37</f>
        <v>477.31339087980837</v>
      </c>
    </row>
    <row r="40" spans="1:6" ht="15.75" customHeight="1">
      <c r="A40" s="104"/>
      <c r="B40" s="104" t="s">
        <v>1098</v>
      </c>
      <c r="C40" s="104"/>
      <c r="D40" s="104"/>
      <c r="E40" s="108">
        <v>0.22</v>
      </c>
      <c r="F40" s="134">
        <f>F38*E40</f>
        <v>138.46220949368691</v>
      </c>
    </row>
    <row r="41" spans="1:6" ht="12" customHeight="1">
      <c r="A41" s="104"/>
      <c r="B41" s="104"/>
      <c r="C41" s="104"/>
      <c r="D41" s="104"/>
      <c r="E41" s="108">
        <v>0.22</v>
      </c>
      <c r="F41" s="134">
        <f>F39*E41</f>
        <v>105.00894599355784</v>
      </c>
    </row>
    <row r="42" spans="1:6" ht="14.25" customHeight="1">
      <c r="A42" s="104"/>
      <c r="B42" s="105" t="s">
        <v>1097</v>
      </c>
      <c r="C42" s="104"/>
      <c r="D42" s="104"/>
      <c r="E42" s="103" t="s">
        <v>1096</v>
      </c>
      <c r="F42" s="133">
        <f>F38+F40</f>
        <v>767.83588901044561</v>
      </c>
    </row>
    <row r="43" spans="1:6" ht="14.25" customHeight="1">
      <c r="A43" s="104"/>
      <c r="B43" s="104"/>
      <c r="C43" s="104"/>
      <c r="D43" s="104"/>
      <c r="E43" s="103" t="s">
        <v>1095</v>
      </c>
      <c r="F43" s="132">
        <f>F39+F41</f>
        <v>582.32233687336623</v>
      </c>
    </row>
    <row r="44" spans="1:6" ht="11" customHeight="1"/>
    <row r="45" spans="1:6" ht="11" customHeight="1"/>
    <row r="46" spans="1:6" ht="11" customHeight="1">
      <c r="B46" s="101" t="s">
        <v>1094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pageOrder="overThenDown" orientation="portrait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  <pageSetUpPr autoPageBreaks="0"/>
  </sheetPr>
  <dimension ref="A1:H42"/>
  <sheetViews>
    <sheetView topLeftCell="A4" zoomScale="130" zoomScaleNormal="130" workbookViewId="0">
      <selection activeCell="F29" sqref="F29"/>
    </sheetView>
  </sheetViews>
  <sheetFormatPr baseColWidth="10" defaultColWidth="9" defaultRowHeight="11.5" customHeight="1"/>
  <cols>
    <col min="1" max="1" width="5.5" style="73" customWidth="1"/>
    <col min="2" max="2" width="42.1640625" style="73" customWidth="1"/>
    <col min="3" max="3" width="12.5" style="73" customWidth="1"/>
    <col min="4" max="4" width="8.5" style="73" customWidth="1"/>
    <col min="5" max="5" width="9.5" style="73" customWidth="1"/>
    <col min="6" max="6" width="14.1640625" style="73" customWidth="1"/>
    <col min="7" max="7" width="9" style="72"/>
    <col min="8" max="8" width="12.83203125" style="72" customWidth="1"/>
    <col min="9" max="16384" width="9" style="72"/>
  </cols>
  <sheetData>
    <row r="1" spans="1:8" ht="11" customHeight="1">
      <c r="F1" s="97" t="s">
        <v>1161</v>
      </c>
    </row>
    <row r="2" spans="1:8" ht="11" customHeight="1">
      <c r="F2" s="97" t="s">
        <v>1160</v>
      </c>
    </row>
    <row r="3" spans="1:8" ht="11" customHeight="1">
      <c r="F3" s="97" t="s">
        <v>1159</v>
      </c>
    </row>
    <row r="4" spans="1:8" ht="11" customHeight="1">
      <c r="F4" s="97" t="s">
        <v>1158</v>
      </c>
    </row>
    <row r="5" spans="1:8" ht="16" customHeight="1">
      <c r="A5" s="96" t="s">
        <v>1157</v>
      </c>
      <c r="F5" s="95" t="s">
        <v>1156</v>
      </c>
    </row>
    <row r="6" spans="1:8" ht="11" customHeight="1"/>
    <row r="7" spans="1:8" ht="13" customHeight="1">
      <c r="A7" s="353" t="s">
        <v>85</v>
      </c>
      <c r="B7" s="353"/>
      <c r="C7" s="353"/>
      <c r="D7" s="353"/>
      <c r="E7" s="353"/>
      <c r="F7" s="353"/>
    </row>
    <row r="8" spans="1:8" s="94" customFormat="1" ht="3" customHeight="1"/>
    <row r="9" spans="1:8" ht="11" customHeight="1">
      <c r="A9" s="79" t="s">
        <v>1154</v>
      </c>
      <c r="B9" s="79" t="s">
        <v>1153</v>
      </c>
      <c r="C9" s="79" t="s">
        <v>1152</v>
      </c>
      <c r="D9" s="141" t="s">
        <v>1151</v>
      </c>
      <c r="E9" s="141" t="s">
        <v>1239</v>
      </c>
      <c r="F9" s="141" t="s">
        <v>1240</v>
      </c>
    </row>
    <row r="10" spans="1:8" ht="11" customHeight="1">
      <c r="A10" s="92">
        <v>3</v>
      </c>
      <c r="B10" s="91" t="s">
        <v>1256</v>
      </c>
      <c r="C10" s="140" t="s">
        <v>1140</v>
      </c>
      <c r="D10" s="139" t="s">
        <v>1203</v>
      </c>
      <c r="E10" s="138">
        <v>0.52</v>
      </c>
      <c r="F10" s="137">
        <f t="shared" ref="F10:F17" si="0">D10*E10</f>
        <v>12.48</v>
      </c>
      <c r="H10" s="110"/>
    </row>
    <row r="11" spans="1:8" ht="11" customHeight="1">
      <c r="A11" s="92">
        <v>5</v>
      </c>
      <c r="B11" s="91" t="s">
        <v>1257</v>
      </c>
      <c r="C11" s="140" t="s">
        <v>1140</v>
      </c>
      <c r="D11" s="139" t="s">
        <v>1110</v>
      </c>
      <c r="E11" s="138">
        <v>0.24</v>
      </c>
      <c r="F11" s="137">
        <f t="shared" si="0"/>
        <v>0.72</v>
      </c>
      <c r="H11" s="110"/>
    </row>
    <row r="12" spans="1:8" ht="11" customHeight="1">
      <c r="A12" s="92">
        <v>6</v>
      </c>
      <c r="B12" s="91" t="s">
        <v>1255</v>
      </c>
      <c r="C12" s="140" t="s">
        <v>1140</v>
      </c>
      <c r="D12" s="139" t="s">
        <v>1108</v>
      </c>
      <c r="E12" s="138">
        <v>40</v>
      </c>
      <c r="F12" s="137">
        <f t="shared" si="0"/>
        <v>160</v>
      </c>
      <c r="H12" s="110"/>
    </row>
    <row r="13" spans="1:8" ht="11" customHeight="1">
      <c r="A13" s="92">
        <v>7</v>
      </c>
      <c r="B13" s="91" t="s">
        <v>1259</v>
      </c>
      <c r="C13" s="140" t="s">
        <v>1140</v>
      </c>
      <c r="D13" s="139" t="s">
        <v>1108</v>
      </c>
      <c r="E13" s="138">
        <v>0.59</v>
      </c>
      <c r="F13" s="137">
        <f t="shared" si="0"/>
        <v>2.36</v>
      </c>
      <c r="H13" s="110"/>
    </row>
    <row r="14" spans="1:8" ht="11" customHeight="1">
      <c r="A14" s="92">
        <v>8</v>
      </c>
      <c r="B14" s="91" t="s">
        <v>1135</v>
      </c>
      <c r="C14" s="140" t="s">
        <v>1120</v>
      </c>
      <c r="D14" s="139">
        <v>0.218</v>
      </c>
      <c r="E14" s="138">
        <v>207.32</v>
      </c>
      <c r="F14" s="137">
        <f t="shared" si="0"/>
        <v>45.19576</v>
      </c>
      <c r="H14" s="110"/>
    </row>
    <row r="15" spans="1:8" ht="11" customHeight="1">
      <c r="A15" s="92">
        <v>9</v>
      </c>
      <c r="B15" s="91" t="s">
        <v>1258</v>
      </c>
      <c r="C15" s="140" t="s">
        <v>1120</v>
      </c>
      <c r="D15" s="139">
        <v>3.722</v>
      </c>
      <c r="E15" s="138">
        <v>70</v>
      </c>
      <c r="F15" s="137">
        <f t="shared" si="0"/>
        <v>260.54000000000002</v>
      </c>
      <c r="H15" s="110"/>
    </row>
    <row r="16" spans="1:8" ht="11" customHeight="1">
      <c r="A16" s="92">
        <v>10</v>
      </c>
      <c r="B16" s="91" t="s">
        <v>1183</v>
      </c>
      <c r="C16" s="140" t="s">
        <v>1120</v>
      </c>
      <c r="D16" s="139">
        <v>8.3000000000000004E-2</v>
      </c>
      <c r="E16" s="138">
        <v>133</v>
      </c>
      <c r="F16" s="137">
        <f t="shared" si="0"/>
        <v>11.039</v>
      </c>
      <c r="H16" s="110"/>
    </row>
    <row r="17" spans="1:8" ht="11" customHeight="1">
      <c r="A17" s="92">
        <v>11</v>
      </c>
      <c r="B17" s="91" t="s">
        <v>1121</v>
      </c>
      <c r="C17" s="140" t="s">
        <v>1120</v>
      </c>
      <c r="D17" s="139">
        <v>8.9999999999999993E-3</v>
      </c>
      <c r="E17" s="138">
        <v>290</v>
      </c>
      <c r="F17" s="137">
        <f t="shared" si="0"/>
        <v>2.61</v>
      </c>
      <c r="H17" s="110"/>
    </row>
    <row r="18" spans="1:8" ht="11" customHeight="1">
      <c r="A18" s="85"/>
      <c r="B18" s="77" t="s">
        <v>1118</v>
      </c>
      <c r="C18" s="77"/>
      <c r="D18" s="136"/>
      <c r="E18" s="136"/>
      <c r="F18" s="135">
        <f>SUM(F10:F17)</f>
        <v>494.94476000000003</v>
      </c>
      <c r="H18" s="110"/>
    </row>
    <row r="19" spans="1:8" ht="24" customHeight="1">
      <c r="A19" s="84"/>
      <c r="B19" s="76" t="s">
        <v>1117</v>
      </c>
      <c r="C19" s="76"/>
      <c r="D19" s="76"/>
      <c r="E19" s="80">
        <v>0.01</v>
      </c>
      <c r="F19" s="99">
        <f>F18*E19</f>
        <v>4.9494476000000001</v>
      </c>
    </row>
    <row r="20" spans="1:8" ht="11" customHeight="1">
      <c r="A20" s="83"/>
      <c r="B20" s="77" t="s">
        <v>1116</v>
      </c>
      <c r="C20" s="77"/>
      <c r="D20" s="77"/>
      <c r="E20" s="77"/>
      <c r="F20" s="98">
        <f>SUM(F18,F19)</f>
        <v>499.89420760000002</v>
      </c>
    </row>
    <row r="21" spans="1:8" ht="11" customHeight="1">
      <c r="A21" s="76" t="s">
        <v>1115</v>
      </c>
      <c r="B21" s="76" t="s">
        <v>1114</v>
      </c>
      <c r="C21" s="76"/>
      <c r="D21" s="76"/>
      <c r="E21" s="80">
        <v>0.11</v>
      </c>
      <c r="F21" s="99">
        <f>F20*E21</f>
        <v>54.988362836</v>
      </c>
    </row>
    <row r="22" spans="1:8" ht="11" customHeight="1">
      <c r="A22" s="76"/>
      <c r="B22" s="81" t="s">
        <v>1113</v>
      </c>
      <c r="C22" s="76"/>
      <c r="D22" s="76"/>
      <c r="E22" s="80">
        <v>0.14000000000000001</v>
      </c>
      <c r="F22" s="99">
        <f>F21*E22</f>
        <v>7.6983707970400008</v>
      </c>
    </row>
    <row r="23" spans="1:8" ht="11" customHeight="1">
      <c r="A23" s="76"/>
      <c r="B23" s="81" t="s">
        <v>1112</v>
      </c>
      <c r="C23" s="76"/>
      <c r="D23" s="76"/>
      <c r="E23" s="82">
        <v>0.309</v>
      </c>
      <c r="F23" s="99">
        <f>(F21+F22)*E23</f>
        <v>19.370200692609359</v>
      </c>
    </row>
    <row r="24" spans="1:8" ht="11" customHeight="1">
      <c r="A24" s="76"/>
      <c r="B24" s="81" t="s">
        <v>1111</v>
      </c>
      <c r="C24" s="76"/>
      <c r="D24" s="76"/>
      <c r="E24" s="82">
        <v>0</v>
      </c>
      <c r="F24" s="99">
        <v>0</v>
      </c>
    </row>
    <row r="25" spans="1:8" ht="17.25" customHeight="1">
      <c r="A25" s="76" t="s">
        <v>1110</v>
      </c>
      <c r="B25" s="81" t="s">
        <v>1109</v>
      </c>
      <c r="C25" s="76"/>
      <c r="D25" s="76"/>
      <c r="E25" s="80">
        <v>1.5</v>
      </c>
      <c r="F25" s="99">
        <f>F21*E25</f>
        <v>82.482544254000004</v>
      </c>
    </row>
    <row r="26" spans="1:8" ht="11" customHeight="1">
      <c r="A26" s="76" t="s">
        <v>1108</v>
      </c>
      <c r="B26" s="76" t="s">
        <v>1107</v>
      </c>
      <c r="C26" s="76"/>
      <c r="D26" s="76"/>
      <c r="E26" s="79"/>
      <c r="F26" s="99">
        <f>F20+F21+F22+F23+F24+F25</f>
        <v>664.43368617964938</v>
      </c>
    </row>
    <row r="27" spans="1:8" ht="11" customHeight="1">
      <c r="A27" s="76" t="s">
        <v>1106</v>
      </c>
      <c r="B27" s="76" t="s">
        <v>1105</v>
      </c>
      <c r="C27" s="76"/>
      <c r="D27" s="76"/>
      <c r="E27" s="80">
        <v>1</v>
      </c>
      <c r="F27" s="99">
        <f>F21*E27</f>
        <v>54.988362836</v>
      </c>
    </row>
    <row r="28" spans="1:8" ht="11" customHeight="1">
      <c r="A28" s="76"/>
      <c r="B28" s="76"/>
      <c r="C28" s="76"/>
      <c r="D28" s="76"/>
      <c r="E28" s="80">
        <v>0.8</v>
      </c>
      <c r="F28" s="99">
        <f>F21*E28</f>
        <v>43.990690268800002</v>
      </c>
    </row>
    <row r="29" spans="1:8" ht="11" customHeight="1">
      <c r="A29" s="76" t="s">
        <v>1104</v>
      </c>
      <c r="B29" s="76" t="s">
        <v>1103</v>
      </c>
      <c r="C29" s="76"/>
      <c r="D29" s="76"/>
      <c r="E29" s="79"/>
      <c r="F29" s="99">
        <f>F26+F27</f>
        <v>719.42204901564935</v>
      </c>
    </row>
    <row r="30" spans="1:8" ht="11" customHeight="1">
      <c r="A30" s="76"/>
      <c r="B30" s="76"/>
      <c r="C30" s="76"/>
      <c r="D30" s="76"/>
      <c r="E30" s="79"/>
      <c r="F30" s="99">
        <f>F26+F28</f>
        <v>708.42437644844938</v>
      </c>
    </row>
    <row r="31" spans="1:8" ht="11" customHeight="1">
      <c r="A31" s="76" t="s">
        <v>1102</v>
      </c>
      <c r="B31" s="76" t="s">
        <v>83</v>
      </c>
      <c r="C31" s="76"/>
      <c r="D31" s="76"/>
      <c r="E31" s="80">
        <v>0.4</v>
      </c>
      <c r="F31" s="99">
        <f>F29*E31</f>
        <v>287.76881960625974</v>
      </c>
    </row>
    <row r="32" spans="1:8" ht="11" customHeight="1">
      <c r="A32" s="76"/>
      <c r="B32" s="76"/>
      <c r="C32" s="76"/>
      <c r="D32" s="76"/>
      <c r="E32" s="80">
        <v>7.0000000000000007E-2</v>
      </c>
      <c r="F32" s="99">
        <f>F30*E32</f>
        <v>49.589706351391463</v>
      </c>
    </row>
    <row r="33" spans="1:6" ht="11" customHeight="1">
      <c r="A33" s="76" t="s">
        <v>1101</v>
      </c>
      <c r="B33" s="76" t="s">
        <v>1100</v>
      </c>
      <c r="C33" s="76"/>
      <c r="D33" s="76"/>
      <c r="E33" s="79"/>
      <c r="F33" s="99">
        <v>151.96</v>
      </c>
    </row>
    <row r="34" spans="1:6" ht="11" customHeight="1">
      <c r="A34" s="76"/>
      <c r="B34" s="76" t="s">
        <v>1099</v>
      </c>
      <c r="C34" s="76"/>
      <c r="D34" s="76"/>
      <c r="E34" s="79"/>
      <c r="F34" s="99">
        <f>F29+F31+F33</f>
        <v>1159.150868621909</v>
      </c>
    </row>
    <row r="35" spans="1:6" ht="11" customHeight="1">
      <c r="A35" s="76"/>
      <c r="B35" s="76"/>
      <c r="C35" s="76"/>
      <c r="D35" s="76"/>
      <c r="E35" s="79"/>
      <c r="F35" s="99">
        <f>F29+F32+F33</f>
        <v>920.97175536704083</v>
      </c>
    </row>
    <row r="36" spans="1:6" ht="11" customHeight="1">
      <c r="A36" s="76"/>
      <c r="B36" s="76" t="s">
        <v>1098</v>
      </c>
      <c r="C36" s="76"/>
      <c r="D36" s="76"/>
      <c r="E36" s="80">
        <v>0.22</v>
      </c>
      <c r="F36" s="99">
        <f>F34*E36</f>
        <v>255.01319109681998</v>
      </c>
    </row>
    <row r="37" spans="1:6" ht="11" customHeight="1">
      <c r="A37" s="76"/>
      <c r="B37" s="76"/>
      <c r="C37" s="76"/>
      <c r="D37" s="76"/>
      <c r="E37" s="80">
        <v>0.22</v>
      </c>
      <c r="F37" s="99">
        <f>F35*E37</f>
        <v>202.61378618074897</v>
      </c>
    </row>
    <row r="38" spans="1:6" ht="11" customHeight="1">
      <c r="A38" s="76"/>
      <c r="B38" s="77" t="s">
        <v>1097</v>
      </c>
      <c r="C38" s="76"/>
      <c r="D38" s="76"/>
      <c r="E38" s="75" t="s">
        <v>1096</v>
      </c>
      <c r="F38" s="98">
        <f>F34+F36</f>
        <v>1414.164059718729</v>
      </c>
    </row>
    <row r="39" spans="1:6" ht="11" customHeight="1">
      <c r="A39" s="76"/>
      <c r="B39" s="76"/>
      <c r="C39" s="76"/>
      <c r="D39" s="76"/>
      <c r="E39" s="75" t="s">
        <v>1095</v>
      </c>
      <c r="F39" s="98">
        <f>F35+F37</f>
        <v>1123.5855415477897</v>
      </c>
    </row>
    <row r="40" spans="1:6" ht="11" customHeight="1"/>
    <row r="41" spans="1:6" ht="11" customHeight="1"/>
    <row r="42" spans="1:6" ht="11" customHeight="1">
      <c r="B42" s="73" t="s">
        <v>1094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pageOrder="overThenDown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  <pageSetUpPr autoPageBreaks="0" fitToPage="1"/>
  </sheetPr>
  <dimension ref="A1:F42"/>
  <sheetViews>
    <sheetView zoomScale="115" zoomScaleNormal="115" workbookViewId="0">
      <selection activeCell="F34" sqref="F34"/>
    </sheetView>
  </sheetViews>
  <sheetFormatPr baseColWidth="10" defaultColWidth="9" defaultRowHeight="11.5" customHeight="1"/>
  <cols>
    <col min="1" max="1" width="5.5" style="73" customWidth="1"/>
    <col min="2" max="2" width="42.1640625" style="73" customWidth="1"/>
    <col min="3" max="3" width="12.5" style="73" customWidth="1"/>
    <col min="4" max="4" width="8.5" style="73" customWidth="1"/>
    <col min="5" max="5" width="9.5" style="73" customWidth="1"/>
    <col min="6" max="6" width="14.1640625" style="73" customWidth="1"/>
    <col min="7" max="16384" width="9" style="72"/>
  </cols>
  <sheetData>
    <row r="1" spans="1:6" ht="11" customHeight="1">
      <c r="F1" s="97" t="s">
        <v>1161</v>
      </c>
    </row>
    <row r="2" spans="1:6" ht="11" customHeight="1">
      <c r="F2" s="97" t="s">
        <v>1160</v>
      </c>
    </row>
    <row r="3" spans="1:6" ht="11" customHeight="1">
      <c r="F3" s="97" t="s">
        <v>1159</v>
      </c>
    </row>
    <row r="4" spans="1:6" ht="11" customHeight="1">
      <c r="F4" s="97" t="s">
        <v>1158</v>
      </c>
    </row>
    <row r="5" spans="1:6" ht="16" customHeight="1">
      <c r="A5" s="96" t="s">
        <v>1157</v>
      </c>
      <c r="F5" s="95" t="s">
        <v>1156</v>
      </c>
    </row>
    <row r="6" spans="1:6" ht="11" customHeight="1"/>
    <row r="7" spans="1:6" ht="13" customHeight="1">
      <c r="A7" s="353" t="s">
        <v>87</v>
      </c>
      <c r="B7" s="353"/>
      <c r="C7" s="353"/>
      <c r="D7" s="353"/>
      <c r="E7" s="353"/>
      <c r="F7" s="353"/>
    </row>
    <row r="8" spans="1:6" s="94" customFormat="1" ht="3" customHeight="1"/>
    <row r="9" spans="1:6" ht="11" customHeight="1">
      <c r="A9" s="79" t="s">
        <v>1154</v>
      </c>
      <c r="B9" s="79" t="s">
        <v>1153</v>
      </c>
      <c r="C9" s="79" t="s">
        <v>1152</v>
      </c>
      <c r="D9" s="79" t="s">
        <v>1151</v>
      </c>
      <c r="E9" s="79" t="s">
        <v>1239</v>
      </c>
      <c r="F9" s="79" t="s">
        <v>1240</v>
      </c>
    </row>
    <row r="10" spans="1:6" ht="11" customHeight="1">
      <c r="A10" s="92">
        <v>3</v>
      </c>
      <c r="B10" s="91" t="s">
        <v>1256</v>
      </c>
      <c r="C10" s="90" t="s">
        <v>1140</v>
      </c>
      <c r="D10" s="79" t="s">
        <v>1202</v>
      </c>
      <c r="E10" s="138">
        <v>0.52</v>
      </c>
      <c r="F10" s="99">
        <f t="shared" ref="F10:F17" si="0">D10*E10</f>
        <v>14.56</v>
      </c>
    </row>
    <row r="11" spans="1:6" ht="11" customHeight="1">
      <c r="A11" s="92">
        <v>5</v>
      </c>
      <c r="B11" s="91" t="s">
        <v>1257</v>
      </c>
      <c r="C11" s="90" t="s">
        <v>1140</v>
      </c>
      <c r="D11" s="79" t="s">
        <v>1110</v>
      </c>
      <c r="E11" s="138">
        <v>0.24</v>
      </c>
      <c r="F11" s="99">
        <f t="shared" si="0"/>
        <v>0.72</v>
      </c>
    </row>
    <row r="12" spans="1:6" ht="11" customHeight="1">
      <c r="A12" s="92">
        <v>6</v>
      </c>
      <c r="B12" s="91" t="s">
        <v>1255</v>
      </c>
      <c r="C12" s="90" t="s">
        <v>1140</v>
      </c>
      <c r="D12" s="79" t="s">
        <v>1106</v>
      </c>
      <c r="E12" s="138">
        <v>40</v>
      </c>
      <c r="F12" s="99">
        <f t="shared" si="0"/>
        <v>200</v>
      </c>
    </row>
    <row r="13" spans="1:6" ht="11" customHeight="1">
      <c r="A13" s="92">
        <v>7</v>
      </c>
      <c r="B13" s="91" t="s">
        <v>1259</v>
      </c>
      <c r="C13" s="90" t="s">
        <v>1140</v>
      </c>
      <c r="D13" s="79" t="s">
        <v>1106</v>
      </c>
      <c r="E13" s="138">
        <v>0.59</v>
      </c>
      <c r="F13" s="99">
        <f t="shared" si="0"/>
        <v>2.9499999999999997</v>
      </c>
    </row>
    <row r="14" spans="1:6" ht="11" customHeight="1">
      <c r="A14" s="92">
        <v>8</v>
      </c>
      <c r="B14" s="91" t="s">
        <v>1135</v>
      </c>
      <c r="C14" s="90" t="s">
        <v>1120</v>
      </c>
      <c r="D14" s="79">
        <v>0.26200000000000001</v>
      </c>
      <c r="E14" s="138">
        <v>207.32</v>
      </c>
      <c r="F14" s="99">
        <f t="shared" si="0"/>
        <v>54.317840000000004</v>
      </c>
    </row>
    <row r="15" spans="1:6" ht="11" customHeight="1">
      <c r="A15" s="92">
        <v>9</v>
      </c>
      <c r="B15" s="91" t="s">
        <v>1258</v>
      </c>
      <c r="C15" s="90" t="s">
        <v>1120</v>
      </c>
      <c r="D15" s="79">
        <v>4.4260000000000002</v>
      </c>
      <c r="E15" s="138">
        <v>70</v>
      </c>
      <c r="F15" s="99">
        <f t="shared" si="0"/>
        <v>309.82</v>
      </c>
    </row>
    <row r="16" spans="1:6" ht="11" customHeight="1">
      <c r="A16" s="92">
        <v>10</v>
      </c>
      <c r="B16" s="91" t="s">
        <v>1183</v>
      </c>
      <c r="C16" s="90" t="s">
        <v>1120</v>
      </c>
      <c r="D16" s="79">
        <v>0.10199999999999999</v>
      </c>
      <c r="E16" s="138">
        <v>133</v>
      </c>
      <c r="F16" s="99">
        <f t="shared" si="0"/>
        <v>13.565999999999999</v>
      </c>
    </row>
    <row r="17" spans="1:6" ht="11" customHeight="1">
      <c r="A17" s="92">
        <v>11</v>
      </c>
      <c r="B17" s="91" t="s">
        <v>1121</v>
      </c>
      <c r="C17" s="90" t="s">
        <v>1120</v>
      </c>
      <c r="D17" s="79">
        <v>1.0999999999999999E-2</v>
      </c>
      <c r="E17" s="138">
        <v>290</v>
      </c>
      <c r="F17" s="99">
        <f t="shared" si="0"/>
        <v>3.19</v>
      </c>
    </row>
    <row r="18" spans="1:6" ht="11" customHeight="1">
      <c r="A18" s="85"/>
      <c r="B18" s="77" t="s">
        <v>1118</v>
      </c>
      <c r="C18" s="77"/>
      <c r="D18" s="77"/>
      <c r="E18" s="77"/>
      <c r="F18" s="98">
        <f>SUM(F10:F17)</f>
        <v>599.12384000000009</v>
      </c>
    </row>
    <row r="19" spans="1:6" ht="11" customHeight="1">
      <c r="A19" s="84"/>
      <c r="B19" s="76" t="s">
        <v>1117</v>
      </c>
      <c r="C19" s="76"/>
      <c r="D19" s="76"/>
      <c r="E19" s="80">
        <v>0.01</v>
      </c>
      <c r="F19" s="99">
        <f>F18*E19</f>
        <v>5.9912384000000012</v>
      </c>
    </row>
    <row r="20" spans="1:6" ht="11" customHeight="1">
      <c r="A20" s="83"/>
      <c r="B20" s="77" t="s">
        <v>1116</v>
      </c>
      <c r="C20" s="77"/>
      <c r="D20" s="77"/>
      <c r="E20" s="77"/>
      <c r="F20" s="98">
        <f>SUM(F18, F19)</f>
        <v>605.11507840000013</v>
      </c>
    </row>
    <row r="21" spans="1:6" ht="11" customHeight="1">
      <c r="A21" s="76" t="s">
        <v>1115</v>
      </c>
      <c r="B21" s="76" t="s">
        <v>1114</v>
      </c>
      <c r="C21" s="76"/>
      <c r="D21" s="76"/>
      <c r="E21" s="80">
        <v>0.11</v>
      </c>
      <c r="F21" s="99">
        <f>F20*E21</f>
        <v>66.562658624000008</v>
      </c>
    </row>
    <row r="22" spans="1:6" ht="11" customHeight="1">
      <c r="A22" s="76"/>
      <c r="B22" s="81" t="s">
        <v>1113</v>
      </c>
      <c r="C22" s="76"/>
      <c r="D22" s="76"/>
      <c r="E22" s="80">
        <v>0.14000000000000001</v>
      </c>
      <c r="F22" s="99">
        <f>F21*E22</f>
        <v>9.3187722073600021</v>
      </c>
    </row>
    <row r="23" spans="1:6" ht="11" customHeight="1">
      <c r="A23" s="76"/>
      <c r="B23" s="81" t="s">
        <v>1112</v>
      </c>
      <c r="C23" s="76"/>
      <c r="D23" s="76"/>
      <c r="E23" s="82">
        <v>0.309</v>
      </c>
      <c r="F23" s="99">
        <f>(F21+F22)*E23</f>
        <v>23.447362126890241</v>
      </c>
    </row>
    <row r="24" spans="1:6" ht="11" customHeight="1">
      <c r="A24" s="76"/>
      <c r="B24" s="81" t="s">
        <v>1111</v>
      </c>
      <c r="C24" s="76"/>
      <c r="D24" s="76"/>
      <c r="E24" s="82">
        <v>0</v>
      </c>
      <c r="F24" s="99">
        <v>0</v>
      </c>
    </row>
    <row r="25" spans="1:6" ht="11" customHeight="1">
      <c r="A25" s="76" t="s">
        <v>1110</v>
      </c>
      <c r="B25" s="81" t="s">
        <v>1109</v>
      </c>
      <c r="C25" s="76"/>
      <c r="D25" s="76"/>
      <c r="E25" s="80">
        <v>1.5</v>
      </c>
      <c r="F25" s="99">
        <f>F21*E25</f>
        <v>99.843987936000019</v>
      </c>
    </row>
    <row r="26" spans="1:6" ht="11" customHeight="1">
      <c r="A26" s="76" t="s">
        <v>1108</v>
      </c>
      <c r="B26" s="76" t="s">
        <v>1107</v>
      </c>
      <c r="C26" s="76"/>
      <c r="D26" s="76"/>
      <c r="E26" s="79"/>
      <c r="F26" s="99">
        <f>F20+F21+F22+F23+F24+F25</f>
        <v>804.28785929425044</v>
      </c>
    </row>
    <row r="27" spans="1:6" ht="11" customHeight="1">
      <c r="A27" s="76" t="s">
        <v>1106</v>
      </c>
      <c r="B27" s="76" t="s">
        <v>1105</v>
      </c>
      <c r="C27" s="76"/>
      <c r="D27" s="76"/>
      <c r="E27" s="80">
        <v>1</v>
      </c>
      <c r="F27" s="99">
        <f>F21*E27</f>
        <v>66.562658624000008</v>
      </c>
    </row>
    <row r="28" spans="1:6" ht="11" customHeight="1">
      <c r="A28" s="76"/>
      <c r="B28" s="76"/>
      <c r="C28" s="76"/>
      <c r="D28" s="76"/>
      <c r="E28" s="80">
        <v>0.8</v>
      </c>
      <c r="F28" s="99">
        <f>F21*E28</f>
        <v>53.250126899200012</v>
      </c>
    </row>
    <row r="29" spans="1:6" ht="11" customHeight="1">
      <c r="A29" s="76" t="s">
        <v>1104</v>
      </c>
      <c r="B29" s="76" t="s">
        <v>1103</v>
      </c>
      <c r="C29" s="76"/>
      <c r="D29" s="76"/>
      <c r="E29" s="79"/>
      <c r="F29" s="99">
        <f>F26+F27</f>
        <v>870.85051791825049</v>
      </c>
    </row>
    <row r="30" spans="1:6" ht="11" customHeight="1">
      <c r="A30" s="76"/>
      <c r="B30" s="76"/>
      <c r="C30" s="76"/>
      <c r="D30" s="76"/>
      <c r="E30" s="79"/>
      <c r="F30" s="99">
        <f>F26+F28</f>
        <v>857.53798619345048</v>
      </c>
    </row>
    <row r="31" spans="1:6" ht="11" customHeight="1">
      <c r="A31" s="76" t="s">
        <v>1102</v>
      </c>
      <c r="B31" s="76" t="s">
        <v>83</v>
      </c>
      <c r="C31" s="76"/>
      <c r="D31" s="76"/>
      <c r="E31" s="80">
        <v>0.4</v>
      </c>
      <c r="F31" s="99">
        <f>F29*E31</f>
        <v>348.34020716730021</v>
      </c>
    </row>
    <row r="32" spans="1:6" ht="11" customHeight="1">
      <c r="A32" s="76"/>
      <c r="B32" s="76"/>
      <c r="C32" s="76"/>
      <c r="D32" s="76"/>
      <c r="E32" s="80">
        <v>7.0000000000000007E-2</v>
      </c>
      <c r="F32" s="99">
        <f>F30*E32</f>
        <v>60.027659033541539</v>
      </c>
    </row>
    <row r="33" spans="1:6" ht="11" customHeight="1">
      <c r="A33" s="76" t="s">
        <v>1101</v>
      </c>
      <c r="B33" s="76" t="s">
        <v>1100</v>
      </c>
      <c r="C33" s="76"/>
      <c r="D33" s="76"/>
      <c r="E33" s="79"/>
      <c r="F33" s="99">
        <v>156.26</v>
      </c>
    </row>
    <row r="34" spans="1:6" ht="11" customHeight="1">
      <c r="A34" s="76"/>
      <c r="B34" s="76" t="s">
        <v>1099</v>
      </c>
      <c r="C34" s="76"/>
      <c r="D34" s="76"/>
      <c r="E34" s="79"/>
      <c r="F34" s="99">
        <f>F29+F31+F33</f>
        <v>1375.4507250855506</v>
      </c>
    </row>
    <row r="35" spans="1:6" ht="11" customHeight="1">
      <c r="A35" s="76"/>
      <c r="B35" s="76"/>
      <c r="C35" s="76"/>
      <c r="D35" s="76"/>
      <c r="E35" s="79"/>
      <c r="F35" s="99">
        <f>F29+F32+F33</f>
        <v>1087.138176951792</v>
      </c>
    </row>
    <row r="36" spans="1:6" ht="11" customHeight="1">
      <c r="A36" s="76"/>
      <c r="B36" s="76" t="s">
        <v>1098</v>
      </c>
      <c r="C36" s="76"/>
      <c r="D36" s="76"/>
      <c r="E36" s="80">
        <v>0.22</v>
      </c>
      <c r="F36" s="99">
        <f>F34*E36</f>
        <v>302.59915951882112</v>
      </c>
    </row>
    <row r="37" spans="1:6" ht="11" customHeight="1">
      <c r="A37" s="76"/>
      <c r="B37" s="76"/>
      <c r="C37" s="76"/>
      <c r="D37" s="76"/>
      <c r="E37" s="80">
        <v>0.22</v>
      </c>
      <c r="F37" s="99">
        <f>F35*E37</f>
        <v>239.17039892939425</v>
      </c>
    </row>
    <row r="38" spans="1:6" ht="11" customHeight="1">
      <c r="A38" s="76"/>
      <c r="B38" s="77" t="s">
        <v>1097</v>
      </c>
      <c r="C38" s="76"/>
      <c r="D38" s="76"/>
      <c r="E38" s="75" t="s">
        <v>1096</v>
      </c>
      <c r="F38" s="98">
        <f>F34+F36</f>
        <v>1678.0498846043718</v>
      </c>
    </row>
    <row r="39" spans="1:6" ht="11" customHeight="1">
      <c r="A39" s="76"/>
      <c r="B39" s="76"/>
      <c r="C39" s="76"/>
      <c r="D39" s="76"/>
      <c r="E39" s="75" t="s">
        <v>1095</v>
      </c>
      <c r="F39" s="98">
        <f>F35+F37</f>
        <v>1326.3085758811862</v>
      </c>
    </row>
    <row r="40" spans="1:6" ht="11" customHeight="1"/>
    <row r="41" spans="1:6" ht="11" customHeight="1"/>
    <row r="42" spans="1:6" ht="11" customHeight="1">
      <c r="B42" s="73" t="s">
        <v>1094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scale="74" pageOrder="overThenDown" orientation="landscape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  <pageSetUpPr autoPageBreaks="0"/>
  </sheetPr>
  <dimension ref="A1:F42"/>
  <sheetViews>
    <sheetView topLeftCell="A4" zoomScale="115" zoomScaleNormal="115" workbookViewId="0">
      <selection activeCell="F33" sqref="F33"/>
    </sheetView>
  </sheetViews>
  <sheetFormatPr baseColWidth="10" defaultColWidth="9" defaultRowHeight="11.5" customHeight="1"/>
  <cols>
    <col min="1" max="1" width="5.5" style="73" customWidth="1"/>
    <col min="2" max="2" width="42.1640625" style="73" customWidth="1"/>
    <col min="3" max="3" width="12.5" style="73" customWidth="1"/>
    <col min="4" max="4" width="8.5" style="73" customWidth="1"/>
    <col min="5" max="5" width="9.5" style="73" customWidth="1"/>
    <col min="6" max="6" width="14.1640625" style="73" customWidth="1"/>
    <col min="7" max="16384" width="9" style="72"/>
  </cols>
  <sheetData>
    <row r="1" spans="1:6" ht="11" customHeight="1">
      <c r="F1" s="97" t="s">
        <v>1161</v>
      </c>
    </row>
    <row r="2" spans="1:6" ht="11" customHeight="1">
      <c r="F2" s="97" t="s">
        <v>1160</v>
      </c>
    </row>
    <row r="3" spans="1:6" ht="11" customHeight="1">
      <c r="F3" s="97" t="s">
        <v>1159</v>
      </c>
    </row>
    <row r="4" spans="1:6" ht="11" customHeight="1">
      <c r="F4" s="97" t="s">
        <v>1158</v>
      </c>
    </row>
    <row r="5" spans="1:6" ht="16" customHeight="1">
      <c r="A5" s="96" t="s">
        <v>1157</v>
      </c>
      <c r="F5" s="95" t="s">
        <v>1156</v>
      </c>
    </row>
    <row r="6" spans="1:6" ht="11" customHeight="1"/>
    <row r="7" spans="1:6" ht="13" customHeight="1">
      <c r="A7" s="353" t="s">
        <v>89</v>
      </c>
      <c r="B7" s="353"/>
      <c r="C7" s="353"/>
      <c r="D7" s="353"/>
      <c r="E7" s="353"/>
      <c r="F7" s="353"/>
    </row>
    <row r="8" spans="1:6" s="94" customFormat="1" ht="3" customHeight="1"/>
    <row r="9" spans="1:6" ht="11" customHeight="1">
      <c r="A9" s="79" t="s">
        <v>1154</v>
      </c>
      <c r="B9" s="79" t="s">
        <v>1153</v>
      </c>
      <c r="C9" s="79" t="s">
        <v>1152</v>
      </c>
      <c r="D9" s="79" t="s">
        <v>1151</v>
      </c>
      <c r="E9" s="79" t="s">
        <v>1239</v>
      </c>
      <c r="F9" s="79" t="s">
        <v>1240</v>
      </c>
    </row>
    <row r="10" spans="1:6" ht="11" customHeight="1">
      <c r="A10" s="92">
        <v>3</v>
      </c>
      <c r="B10" s="91" t="s">
        <v>1256</v>
      </c>
      <c r="C10" s="90" t="s">
        <v>1140</v>
      </c>
      <c r="D10" s="79" t="s">
        <v>1204</v>
      </c>
      <c r="E10" s="138">
        <v>0.52</v>
      </c>
      <c r="F10" s="99">
        <f t="shared" ref="F10:F17" si="0">D10*E10</f>
        <v>16.64</v>
      </c>
    </row>
    <row r="11" spans="1:6" ht="11" customHeight="1">
      <c r="A11" s="92">
        <v>5</v>
      </c>
      <c r="B11" s="91" t="s">
        <v>1257</v>
      </c>
      <c r="C11" s="90" t="s">
        <v>1140</v>
      </c>
      <c r="D11" s="79" t="s">
        <v>1110</v>
      </c>
      <c r="E11" s="138">
        <v>0.24</v>
      </c>
      <c r="F11" s="99">
        <f t="shared" si="0"/>
        <v>0.72</v>
      </c>
    </row>
    <row r="12" spans="1:6" ht="11" customHeight="1">
      <c r="A12" s="92">
        <v>6</v>
      </c>
      <c r="B12" s="91" t="s">
        <v>1255</v>
      </c>
      <c r="C12" s="90" t="s">
        <v>1140</v>
      </c>
      <c r="D12" s="79" t="s">
        <v>1104</v>
      </c>
      <c r="E12" s="138">
        <v>36</v>
      </c>
      <c r="F12" s="99">
        <f t="shared" si="0"/>
        <v>216</v>
      </c>
    </row>
    <row r="13" spans="1:6" ht="11" customHeight="1">
      <c r="A13" s="92">
        <v>7</v>
      </c>
      <c r="B13" s="91" t="s">
        <v>1259</v>
      </c>
      <c r="C13" s="90" t="s">
        <v>1140</v>
      </c>
      <c r="D13" s="79" t="s">
        <v>1104</v>
      </c>
      <c r="E13" s="138">
        <v>0.59</v>
      </c>
      <c r="F13" s="99">
        <f t="shared" si="0"/>
        <v>3.54</v>
      </c>
    </row>
    <row r="14" spans="1:6" ht="11" customHeight="1">
      <c r="A14" s="92">
        <v>8</v>
      </c>
      <c r="B14" s="91" t="s">
        <v>1135</v>
      </c>
      <c r="C14" s="90" t="s">
        <v>1120</v>
      </c>
      <c r="D14" s="79">
        <v>0.30399999999999999</v>
      </c>
      <c r="E14" s="138">
        <v>207.32</v>
      </c>
      <c r="F14" s="99">
        <f t="shared" si="0"/>
        <v>63.025279999999995</v>
      </c>
    </row>
    <row r="15" spans="1:6" ht="11" customHeight="1">
      <c r="A15" s="92">
        <v>9</v>
      </c>
      <c r="B15" s="91" t="s">
        <v>1258</v>
      </c>
      <c r="C15" s="90" t="s">
        <v>1120</v>
      </c>
      <c r="D15" s="79">
        <v>5.13</v>
      </c>
      <c r="E15" s="138">
        <v>60</v>
      </c>
      <c r="F15" s="99">
        <f t="shared" si="0"/>
        <v>307.8</v>
      </c>
    </row>
    <row r="16" spans="1:6" ht="11" customHeight="1">
      <c r="A16" s="92">
        <v>10</v>
      </c>
      <c r="B16" s="91" t="s">
        <v>1183</v>
      </c>
      <c r="C16" s="90" t="s">
        <v>1120</v>
      </c>
      <c r="D16" s="79">
        <v>0.12</v>
      </c>
      <c r="E16" s="138">
        <v>133</v>
      </c>
      <c r="F16" s="99">
        <f t="shared" si="0"/>
        <v>15.959999999999999</v>
      </c>
    </row>
    <row r="17" spans="1:6" ht="11" customHeight="1">
      <c r="A17" s="92">
        <v>11</v>
      </c>
      <c r="B17" s="91" t="s">
        <v>1121</v>
      </c>
      <c r="C17" s="90" t="s">
        <v>1120</v>
      </c>
      <c r="D17" s="79">
        <v>1.2999999999999999E-2</v>
      </c>
      <c r="E17" s="138">
        <v>290</v>
      </c>
      <c r="F17" s="99">
        <f t="shared" si="0"/>
        <v>3.77</v>
      </c>
    </row>
    <row r="18" spans="1:6" ht="24" customHeight="1">
      <c r="A18" s="85"/>
      <c r="B18" s="77" t="s">
        <v>1118</v>
      </c>
      <c r="C18" s="77"/>
      <c r="D18" s="77"/>
      <c r="E18" s="77"/>
      <c r="F18" s="98">
        <f>SUM(F10:F17)</f>
        <v>627.45528000000002</v>
      </c>
    </row>
    <row r="19" spans="1:6" ht="28.5" customHeight="1">
      <c r="A19" s="84"/>
      <c r="B19" s="76" t="s">
        <v>1117</v>
      </c>
      <c r="C19" s="76"/>
      <c r="D19" s="76"/>
      <c r="E19" s="80">
        <v>0.01</v>
      </c>
      <c r="F19" s="99">
        <f>F18*E19</f>
        <v>6.2745528000000004</v>
      </c>
    </row>
    <row r="20" spans="1:6" ht="22.5" customHeight="1">
      <c r="A20" s="83"/>
      <c r="B20" s="77" t="s">
        <v>1116</v>
      </c>
      <c r="C20" s="77"/>
      <c r="D20" s="77"/>
      <c r="E20" s="77"/>
      <c r="F20" s="98">
        <f>SUM(F18,F19)</f>
        <v>633.72983280000005</v>
      </c>
    </row>
    <row r="21" spans="1:6" ht="17.25" customHeight="1">
      <c r="A21" s="76" t="s">
        <v>1115</v>
      </c>
      <c r="B21" s="76" t="s">
        <v>1114</v>
      </c>
      <c r="C21" s="76"/>
      <c r="D21" s="76"/>
      <c r="E21" s="80">
        <v>0.11</v>
      </c>
      <c r="F21" s="99">
        <f>F20*E21</f>
        <v>69.710281608000003</v>
      </c>
    </row>
    <row r="22" spans="1:6" ht="16.5" customHeight="1">
      <c r="A22" s="76"/>
      <c r="B22" s="81" t="s">
        <v>1113</v>
      </c>
      <c r="C22" s="76"/>
      <c r="D22" s="76"/>
      <c r="E22" s="80">
        <v>0.14000000000000001</v>
      </c>
      <c r="F22" s="99">
        <f>F21*E22</f>
        <v>9.7594394251200018</v>
      </c>
    </row>
    <row r="23" spans="1:6" ht="15" customHeight="1">
      <c r="A23" s="76"/>
      <c r="B23" s="81" t="s">
        <v>1112</v>
      </c>
      <c r="C23" s="76"/>
      <c r="D23" s="76"/>
      <c r="E23" s="82">
        <v>0.309</v>
      </c>
      <c r="F23" s="99">
        <f>(F21+F22)*E23</f>
        <v>24.556143799234082</v>
      </c>
    </row>
    <row r="24" spans="1:6" ht="15" customHeight="1">
      <c r="A24" s="76"/>
      <c r="B24" s="81" t="s">
        <v>1111</v>
      </c>
      <c r="C24" s="76"/>
      <c r="D24" s="76"/>
      <c r="E24" s="82">
        <v>0</v>
      </c>
      <c r="F24" s="99">
        <v>0</v>
      </c>
    </row>
    <row r="25" spans="1:6" ht="11" customHeight="1">
      <c r="A25" s="76" t="s">
        <v>1110</v>
      </c>
      <c r="B25" s="81" t="s">
        <v>1109</v>
      </c>
      <c r="C25" s="76"/>
      <c r="D25" s="76"/>
      <c r="E25" s="80">
        <v>1.5</v>
      </c>
      <c r="F25" s="99">
        <f>F21*E25</f>
        <v>104.565422412</v>
      </c>
    </row>
    <row r="26" spans="1:6" ht="11" customHeight="1">
      <c r="A26" s="76" t="s">
        <v>1108</v>
      </c>
      <c r="B26" s="76" t="s">
        <v>1107</v>
      </c>
      <c r="C26" s="76"/>
      <c r="D26" s="76"/>
      <c r="E26" s="79"/>
      <c r="F26" s="99">
        <f>F20+F21+F22+F23+F24+F25</f>
        <v>842.32112004435407</v>
      </c>
    </row>
    <row r="27" spans="1:6" ht="11" customHeight="1">
      <c r="A27" s="76" t="s">
        <v>1106</v>
      </c>
      <c r="B27" s="76" t="s">
        <v>1105</v>
      </c>
      <c r="C27" s="76"/>
      <c r="D27" s="76"/>
      <c r="E27" s="80">
        <v>1</v>
      </c>
      <c r="F27" s="99">
        <f>F21*E27</f>
        <v>69.710281608000003</v>
      </c>
    </row>
    <row r="28" spans="1:6" ht="11" customHeight="1">
      <c r="A28" s="76"/>
      <c r="B28" s="76"/>
      <c r="C28" s="76"/>
      <c r="D28" s="76"/>
      <c r="E28" s="80">
        <v>0.8</v>
      </c>
      <c r="F28" s="99">
        <f>F21*E28</f>
        <v>55.768225286400003</v>
      </c>
    </row>
    <row r="29" spans="1:6" ht="11" customHeight="1">
      <c r="A29" s="76" t="s">
        <v>1104</v>
      </c>
      <c r="B29" s="76" t="s">
        <v>1103</v>
      </c>
      <c r="C29" s="76"/>
      <c r="D29" s="76"/>
      <c r="E29" s="79"/>
      <c r="F29" s="99">
        <f>F26+F27</f>
        <v>912.03140165235413</v>
      </c>
    </row>
    <row r="30" spans="1:6" ht="11" customHeight="1">
      <c r="A30" s="76"/>
      <c r="B30" s="76"/>
      <c r="C30" s="76"/>
      <c r="D30" s="76"/>
      <c r="E30" s="79"/>
      <c r="F30" s="99">
        <f>F26+F28</f>
        <v>898.0893453307541</v>
      </c>
    </row>
    <row r="31" spans="1:6" ht="11" customHeight="1">
      <c r="A31" s="76" t="s">
        <v>1102</v>
      </c>
      <c r="B31" s="76" t="s">
        <v>83</v>
      </c>
      <c r="C31" s="76"/>
      <c r="D31" s="76"/>
      <c r="E31" s="80">
        <v>0.4</v>
      </c>
      <c r="F31" s="99">
        <f>F29*E31</f>
        <v>364.8125606609417</v>
      </c>
    </row>
    <row r="32" spans="1:6" ht="11" customHeight="1">
      <c r="A32" s="76"/>
      <c r="B32" s="76"/>
      <c r="C32" s="76"/>
      <c r="D32" s="76"/>
      <c r="E32" s="80">
        <v>7.0000000000000007E-2</v>
      </c>
      <c r="F32" s="99">
        <f>F30*E32</f>
        <v>62.86625417315279</v>
      </c>
    </row>
    <row r="33" spans="1:6" ht="11" customHeight="1">
      <c r="A33" s="76" t="s">
        <v>1101</v>
      </c>
      <c r="B33" s="76" t="s">
        <v>1100</v>
      </c>
      <c r="C33" s="76"/>
      <c r="D33" s="76"/>
      <c r="E33" s="79"/>
      <c r="F33" s="99">
        <v>157.84</v>
      </c>
    </row>
    <row r="34" spans="1:6" ht="11" customHeight="1">
      <c r="A34" s="76"/>
      <c r="B34" s="76" t="s">
        <v>1099</v>
      </c>
      <c r="C34" s="76"/>
      <c r="D34" s="76"/>
      <c r="E34" s="79"/>
      <c r="F34" s="99">
        <f>F29+F31+F33</f>
        <v>1434.6839623132958</v>
      </c>
    </row>
    <row r="35" spans="1:6" ht="11" customHeight="1">
      <c r="A35" s="76"/>
      <c r="B35" s="76"/>
      <c r="C35" s="76"/>
      <c r="D35" s="76"/>
      <c r="E35" s="79"/>
      <c r="F35" s="99">
        <f>F29+F32+F33</f>
        <v>1132.7376558255069</v>
      </c>
    </row>
    <row r="36" spans="1:6" ht="11" customHeight="1">
      <c r="A36" s="76"/>
      <c r="B36" s="76" t="s">
        <v>1098</v>
      </c>
      <c r="C36" s="76"/>
      <c r="D36" s="76"/>
      <c r="E36" s="80">
        <v>0.22</v>
      </c>
      <c r="F36" s="99">
        <f>F34*E36</f>
        <v>315.63047170892509</v>
      </c>
    </row>
    <row r="37" spans="1:6" ht="11" customHeight="1">
      <c r="A37" s="76"/>
      <c r="B37" s="76"/>
      <c r="C37" s="76"/>
      <c r="D37" s="76"/>
      <c r="E37" s="80">
        <v>0.22</v>
      </c>
      <c r="F37" s="99">
        <f>F35*E37</f>
        <v>249.2022842816115</v>
      </c>
    </row>
    <row r="38" spans="1:6" ht="11" customHeight="1">
      <c r="A38" s="76"/>
      <c r="B38" s="77" t="s">
        <v>1097</v>
      </c>
      <c r="C38" s="76"/>
      <c r="D38" s="76"/>
      <c r="E38" s="75" t="s">
        <v>1096</v>
      </c>
      <c r="F38" s="98">
        <f>F34+F36</f>
        <v>1750.3144340222209</v>
      </c>
    </row>
    <row r="39" spans="1:6" ht="11" customHeight="1">
      <c r="A39" s="76"/>
      <c r="B39" s="76"/>
      <c r="C39" s="76"/>
      <c r="D39" s="76"/>
      <c r="E39" s="75" t="s">
        <v>1095</v>
      </c>
      <c r="F39" s="98">
        <f>F35+F37</f>
        <v>1381.9399401071184</v>
      </c>
    </row>
    <row r="40" spans="1:6" ht="11" customHeight="1"/>
    <row r="41" spans="1:6" ht="11" customHeight="1"/>
    <row r="42" spans="1:6" ht="11" customHeight="1">
      <c r="B42" s="73" t="s">
        <v>1094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pageOrder="overThenDown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  <pageSetUpPr autoPageBreaks="0"/>
  </sheetPr>
  <dimension ref="A1:F42"/>
  <sheetViews>
    <sheetView topLeftCell="A4" zoomScale="115" zoomScaleNormal="115" workbookViewId="0">
      <selection activeCell="F33" sqref="F33"/>
    </sheetView>
  </sheetViews>
  <sheetFormatPr baseColWidth="10" defaultColWidth="9" defaultRowHeight="11.5" customHeight="1"/>
  <cols>
    <col min="1" max="1" width="5.5" style="73" customWidth="1"/>
    <col min="2" max="2" width="42.1640625" style="73" customWidth="1"/>
    <col min="3" max="3" width="12.5" style="73" customWidth="1"/>
    <col min="4" max="4" width="8.5" style="73" customWidth="1"/>
    <col min="5" max="5" width="9.5" style="73" customWidth="1"/>
    <col min="6" max="6" width="14.1640625" style="73" customWidth="1"/>
    <col min="7" max="16384" width="9" style="72"/>
  </cols>
  <sheetData>
    <row r="1" spans="1:6" ht="11" customHeight="1">
      <c r="F1" s="97" t="s">
        <v>1161</v>
      </c>
    </row>
    <row r="2" spans="1:6" ht="11" customHeight="1">
      <c r="F2" s="97" t="s">
        <v>1160</v>
      </c>
    </row>
    <row r="3" spans="1:6" ht="11" customHeight="1">
      <c r="F3" s="97" t="s">
        <v>1159</v>
      </c>
    </row>
    <row r="4" spans="1:6" ht="11" customHeight="1">
      <c r="F4" s="97" t="s">
        <v>1158</v>
      </c>
    </row>
    <row r="5" spans="1:6" ht="16" customHeight="1">
      <c r="A5" s="96" t="s">
        <v>1157</v>
      </c>
      <c r="F5" s="95" t="s">
        <v>1156</v>
      </c>
    </row>
    <row r="6" spans="1:6" ht="11" customHeight="1"/>
    <row r="7" spans="1:6" ht="13" customHeight="1">
      <c r="A7" s="353" t="s">
        <v>91</v>
      </c>
      <c r="B7" s="353"/>
      <c r="C7" s="353"/>
      <c r="D7" s="353"/>
      <c r="E7" s="353"/>
      <c r="F7" s="353"/>
    </row>
    <row r="8" spans="1:6" s="94" customFormat="1" ht="3" customHeight="1"/>
    <row r="9" spans="1:6" ht="11" customHeight="1">
      <c r="A9" s="79" t="s">
        <v>1154</v>
      </c>
      <c r="B9" s="79" t="s">
        <v>1153</v>
      </c>
      <c r="C9" s="79" t="s">
        <v>1152</v>
      </c>
      <c r="D9" s="79" t="s">
        <v>1151</v>
      </c>
      <c r="E9" s="79" t="s">
        <v>1239</v>
      </c>
      <c r="F9" s="79" t="s">
        <v>1240</v>
      </c>
    </row>
    <row r="10" spans="1:6" ht="11" customHeight="1">
      <c r="A10" s="92">
        <v>3</v>
      </c>
      <c r="B10" s="91" t="s">
        <v>1256</v>
      </c>
      <c r="C10" s="90" t="s">
        <v>1140</v>
      </c>
      <c r="D10" s="79" t="s">
        <v>1205</v>
      </c>
      <c r="E10" s="138">
        <v>0.52</v>
      </c>
      <c r="F10" s="130">
        <f t="shared" ref="F10:F17" si="0">D10*E10</f>
        <v>20.8</v>
      </c>
    </row>
    <row r="11" spans="1:6" ht="11" customHeight="1">
      <c r="A11" s="92">
        <v>5</v>
      </c>
      <c r="B11" s="91" t="s">
        <v>1257</v>
      </c>
      <c r="C11" s="90" t="s">
        <v>1140</v>
      </c>
      <c r="D11" s="79" t="s">
        <v>1110</v>
      </c>
      <c r="E11" s="138">
        <v>0.24</v>
      </c>
      <c r="F11" s="130">
        <f t="shared" si="0"/>
        <v>0.72</v>
      </c>
    </row>
    <row r="12" spans="1:6" ht="11" customHeight="1">
      <c r="A12" s="92">
        <v>6</v>
      </c>
      <c r="B12" s="91" t="s">
        <v>1255</v>
      </c>
      <c r="C12" s="90" t="s">
        <v>1140</v>
      </c>
      <c r="D12" s="79" t="s">
        <v>1101</v>
      </c>
      <c r="E12" s="138">
        <v>40</v>
      </c>
      <c r="F12" s="130">
        <f t="shared" si="0"/>
        <v>320</v>
      </c>
    </row>
    <row r="13" spans="1:6" ht="11" customHeight="1">
      <c r="A13" s="92">
        <v>7</v>
      </c>
      <c r="B13" s="91" t="s">
        <v>1259</v>
      </c>
      <c r="C13" s="90" t="s">
        <v>1140</v>
      </c>
      <c r="D13" s="79" t="s">
        <v>1101</v>
      </c>
      <c r="E13" s="138">
        <v>0.59</v>
      </c>
      <c r="F13" s="130">
        <f t="shared" si="0"/>
        <v>4.72</v>
      </c>
    </row>
    <row r="14" spans="1:6" ht="11" customHeight="1">
      <c r="A14" s="92">
        <v>8</v>
      </c>
      <c r="B14" s="91" t="s">
        <v>1135</v>
      </c>
      <c r="C14" s="90" t="s">
        <v>1120</v>
      </c>
      <c r="D14" s="79">
        <v>0.39300000000000002</v>
      </c>
      <c r="E14" s="138">
        <v>207.32</v>
      </c>
      <c r="F14" s="130">
        <f t="shared" si="0"/>
        <v>81.476759999999999</v>
      </c>
    </row>
    <row r="15" spans="1:6" ht="11" customHeight="1">
      <c r="A15" s="92">
        <v>9</v>
      </c>
      <c r="B15" s="91" t="s">
        <v>1258</v>
      </c>
      <c r="C15" s="90" t="s">
        <v>1120</v>
      </c>
      <c r="D15" s="79">
        <v>6.5359999999999996</v>
      </c>
      <c r="E15" s="138">
        <v>70</v>
      </c>
      <c r="F15" s="130">
        <f t="shared" si="0"/>
        <v>457.52</v>
      </c>
    </row>
    <row r="16" spans="1:6" ht="11" customHeight="1">
      <c r="A16" s="92">
        <v>10</v>
      </c>
      <c r="B16" s="91" t="s">
        <v>1183</v>
      </c>
      <c r="C16" s="90" t="s">
        <v>1120</v>
      </c>
      <c r="D16" s="79">
        <v>0.158</v>
      </c>
      <c r="E16" s="138">
        <v>133</v>
      </c>
      <c r="F16" s="130">
        <f t="shared" si="0"/>
        <v>21.013999999999999</v>
      </c>
    </row>
    <row r="17" spans="1:6" ht="11" customHeight="1">
      <c r="A17" s="92">
        <v>11</v>
      </c>
      <c r="B17" s="91" t="s">
        <v>1121</v>
      </c>
      <c r="C17" s="90" t="s">
        <v>1120</v>
      </c>
      <c r="D17" s="79">
        <v>1.7000000000000001E-2</v>
      </c>
      <c r="E17" s="138">
        <v>290</v>
      </c>
      <c r="F17" s="130">
        <f t="shared" si="0"/>
        <v>4.9300000000000006</v>
      </c>
    </row>
    <row r="18" spans="1:6" ht="18" customHeight="1">
      <c r="A18" s="85"/>
      <c r="B18" s="77" t="s">
        <v>1118</v>
      </c>
      <c r="C18" s="77"/>
      <c r="D18" s="77"/>
      <c r="E18" s="77"/>
      <c r="F18" s="129">
        <f>SUM(F10:F17)</f>
        <v>911.18075999999996</v>
      </c>
    </row>
    <row r="19" spans="1:6" ht="20.25" customHeight="1">
      <c r="A19" s="84"/>
      <c r="B19" s="76" t="s">
        <v>1117</v>
      </c>
      <c r="C19" s="76"/>
      <c r="D19" s="76"/>
      <c r="E19" s="80">
        <v>0.01</v>
      </c>
      <c r="F19" s="130">
        <f>F18*E19</f>
        <v>9.1118076000000006</v>
      </c>
    </row>
    <row r="20" spans="1:6" ht="21.75" customHeight="1">
      <c r="A20" s="83"/>
      <c r="B20" s="77" t="s">
        <v>1116</v>
      </c>
      <c r="C20" s="77"/>
      <c r="D20" s="77"/>
      <c r="E20" s="77"/>
      <c r="F20" s="129">
        <f>SUM(F18,F19)</f>
        <v>920.29256759999998</v>
      </c>
    </row>
    <row r="21" spans="1:6" ht="19.5" customHeight="1">
      <c r="A21" s="76" t="s">
        <v>1115</v>
      </c>
      <c r="B21" s="76" t="s">
        <v>1114</v>
      </c>
      <c r="C21" s="76"/>
      <c r="D21" s="76"/>
      <c r="E21" s="80">
        <v>0.11</v>
      </c>
      <c r="F21" s="128">
        <f>F20*E21</f>
        <v>101.232182436</v>
      </c>
    </row>
    <row r="22" spans="1:6" ht="17.25" customHeight="1">
      <c r="A22" s="76"/>
      <c r="B22" s="81" t="s">
        <v>1113</v>
      </c>
      <c r="C22" s="76"/>
      <c r="D22" s="76"/>
      <c r="E22" s="80">
        <v>0.14000000000000001</v>
      </c>
      <c r="F22" s="128">
        <f>F21*E22</f>
        <v>14.172505541040001</v>
      </c>
    </row>
    <row r="23" spans="1:6" ht="20.25" customHeight="1">
      <c r="A23" s="76"/>
      <c r="B23" s="81" t="s">
        <v>1112</v>
      </c>
      <c r="C23" s="76"/>
      <c r="D23" s="76"/>
      <c r="E23" s="82">
        <v>0.309</v>
      </c>
      <c r="F23" s="128">
        <f>(F21+F22)*E23</f>
        <v>35.660048584905361</v>
      </c>
    </row>
    <row r="24" spans="1:6" ht="11" customHeight="1">
      <c r="A24" s="76"/>
      <c r="B24" s="81" t="s">
        <v>1111</v>
      </c>
      <c r="C24" s="76"/>
      <c r="D24" s="76"/>
      <c r="E24" s="82">
        <v>0</v>
      </c>
      <c r="F24" s="128">
        <v>0</v>
      </c>
    </row>
    <row r="25" spans="1:6" ht="11" customHeight="1">
      <c r="A25" s="76" t="s">
        <v>1110</v>
      </c>
      <c r="B25" s="81" t="s">
        <v>1109</v>
      </c>
      <c r="C25" s="76"/>
      <c r="D25" s="76"/>
      <c r="E25" s="80">
        <v>1.5</v>
      </c>
      <c r="F25" s="128">
        <f>F21*E25</f>
        <v>151.848273654</v>
      </c>
    </row>
    <row r="26" spans="1:6" ht="24" customHeight="1">
      <c r="A26" s="76" t="s">
        <v>1108</v>
      </c>
      <c r="B26" s="76" t="s">
        <v>1107</v>
      </c>
      <c r="C26" s="76"/>
      <c r="D26" s="76"/>
      <c r="E26" s="79"/>
      <c r="F26" s="128">
        <f>F20+F21+F22+F23+F24+F25</f>
        <v>1223.2055778159454</v>
      </c>
    </row>
    <row r="27" spans="1:6" ht="11" customHeight="1">
      <c r="A27" s="76" t="s">
        <v>1106</v>
      </c>
      <c r="B27" s="76" t="s">
        <v>1105</v>
      </c>
      <c r="C27" s="76"/>
      <c r="D27" s="76"/>
      <c r="E27" s="80">
        <v>1</v>
      </c>
      <c r="F27" s="128">
        <f>F21*E27</f>
        <v>101.232182436</v>
      </c>
    </row>
    <row r="28" spans="1:6" ht="11" customHeight="1">
      <c r="A28" s="76"/>
      <c r="B28" s="76"/>
      <c r="C28" s="76"/>
      <c r="D28" s="76"/>
      <c r="E28" s="80">
        <v>0.8</v>
      </c>
      <c r="F28" s="128">
        <f>F21*E28</f>
        <v>80.985745948800002</v>
      </c>
    </row>
    <row r="29" spans="1:6" ht="11" customHeight="1">
      <c r="A29" s="76" t="s">
        <v>1104</v>
      </c>
      <c r="B29" s="76" t="s">
        <v>1103</v>
      </c>
      <c r="C29" s="76"/>
      <c r="D29" s="76"/>
      <c r="E29" s="79"/>
      <c r="F29" s="128">
        <f>F26+F27</f>
        <v>1324.4377602519453</v>
      </c>
    </row>
    <row r="30" spans="1:6" ht="11" customHeight="1">
      <c r="A30" s="76"/>
      <c r="B30" s="76"/>
      <c r="C30" s="76"/>
      <c r="D30" s="76"/>
      <c r="E30" s="79"/>
      <c r="F30" s="128">
        <f>F26+F28</f>
        <v>1304.1913237647454</v>
      </c>
    </row>
    <row r="31" spans="1:6" ht="11" customHeight="1">
      <c r="A31" s="76" t="s">
        <v>1102</v>
      </c>
      <c r="B31" s="76" t="s">
        <v>83</v>
      </c>
      <c r="C31" s="76"/>
      <c r="D31" s="76"/>
      <c r="E31" s="80">
        <v>0.4</v>
      </c>
      <c r="F31" s="128">
        <f>F29*E31</f>
        <v>529.77510410077809</v>
      </c>
    </row>
    <row r="32" spans="1:6" ht="11" customHeight="1">
      <c r="A32" s="76"/>
      <c r="B32" s="76"/>
      <c r="C32" s="76"/>
      <c r="D32" s="76"/>
      <c r="E32" s="80">
        <v>7.0000000000000007E-2</v>
      </c>
      <c r="F32" s="128">
        <f>F30*E32</f>
        <v>91.293392663532188</v>
      </c>
    </row>
    <row r="33" spans="1:6" ht="11" customHeight="1">
      <c r="A33" s="76" t="s">
        <v>1101</v>
      </c>
      <c r="B33" s="76" t="s">
        <v>1100</v>
      </c>
      <c r="C33" s="76"/>
      <c r="D33" s="76"/>
      <c r="E33" s="79"/>
      <c r="F33" s="128">
        <v>168.36</v>
      </c>
    </row>
    <row r="34" spans="1:6" ht="18" customHeight="1">
      <c r="A34" s="76"/>
      <c r="B34" s="76" t="s">
        <v>1099</v>
      </c>
      <c r="C34" s="76"/>
      <c r="D34" s="76"/>
      <c r="E34" s="79"/>
      <c r="F34" s="128">
        <f>F29+F31+F33</f>
        <v>2022.5728643527236</v>
      </c>
    </row>
    <row r="35" spans="1:6" ht="11" customHeight="1">
      <c r="A35" s="76"/>
      <c r="B35" s="76"/>
      <c r="C35" s="76"/>
      <c r="D35" s="76"/>
      <c r="E35" s="79"/>
      <c r="F35" s="128">
        <f>F29+F32+F33</f>
        <v>1584.0911529154773</v>
      </c>
    </row>
    <row r="36" spans="1:6" ht="11" customHeight="1">
      <c r="A36" s="76"/>
      <c r="B36" s="76" t="s">
        <v>1098</v>
      </c>
      <c r="C36" s="76"/>
      <c r="D36" s="76"/>
      <c r="E36" s="80">
        <v>0.22</v>
      </c>
      <c r="F36" s="128">
        <f>F34*E36</f>
        <v>444.96603015759922</v>
      </c>
    </row>
    <row r="37" spans="1:6" ht="11" customHeight="1">
      <c r="A37" s="76"/>
      <c r="B37" s="76"/>
      <c r="C37" s="76"/>
      <c r="D37" s="76"/>
      <c r="E37" s="80">
        <v>0.22</v>
      </c>
      <c r="F37" s="128">
        <f>F35*E37</f>
        <v>348.50005364140503</v>
      </c>
    </row>
    <row r="38" spans="1:6" ht="11" customHeight="1">
      <c r="A38" s="76"/>
      <c r="B38" s="77" t="s">
        <v>1097</v>
      </c>
      <c r="C38" s="76"/>
      <c r="D38" s="76"/>
      <c r="E38" s="75" t="s">
        <v>1096</v>
      </c>
      <c r="F38" s="127">
        <f>F34+F36</f>
        <v>2467.5388945103227</v>
      </c>
    </row>
    <row r="39" spans="1:6" ht="11" customHeight="1">
      <c r="A39" s="76"/>
      <c r="B39" s="76"/>
      <c r="C39" s="76"/>
      <c r="D39" s="76"/>
      <c r="E39" s="75" t="s">
        <v>1095</v>
      </c>
      <c r="F39" s="127">
        <f>F35+F37</f>
        <v>1932.5912065568823</v>
      </c>
    </row>
    <row r="40" spans="1:6" ht="11" customHeight="1"/>
    <row r="41" spans="1:6" ht="11" customHeight="1"/>
    <row r="42" spans="1:6" ht="11" customHeight="1">
      <c r="B42" s="73" t="s">
        <v>1094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pageOrder="overThenDown" orientation="portrait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  <pageSetUpPr autoPageBreaks="0"/>
  </sheetPr>
  <dimension ref="A1:F44"/>
  <sheetViews>
    <sheetView topLeftCell="A4" zoomScale="120" zoomScaleNormal="120" workbookViewId="0">
      <selection activeCell="K41" sqref="K41"/>
    </sheetView>
  </sheetViews>
  <sheetFormatPr baseColWidth="10" defaultColWidth="9" defaultRowHeight="11.5" customHeight="1"/>
  <cols>
    <col min="1" max="1" width="5.5" style="101" customWidth="1"/>
    <col min="2" max="2" width="42.1640625" style="101" customWidth="1"/>
    <col min="3" max="3" width="12.5" style="101" customWidth="1"/>
    <col min="4" max="4" width="8.5" style="101" customWidth="1"/>
    <col min="5" max="5" width="9.5" style="101" customWidth="1"/>
    <col min="6" max="6" width="14.1640625" style="101" customWidth="1"/>
    <col min="7" max="16384" width="9" style="100"/>
  </cols>
  <sheetData>
    <row r="1" spans="1:6" ht="11" customHeight="1">
      <c r="F1" s="126" t="s">
        <v>1161</v>
      </c>
    </row>
    <row r="2" spans="1:6" ht="11" customHeight="1">
      <c r="F2" s="126" t="s">
        <v>1160</v>
      </c>
    </row>
    <row r="3" spans="1:6" ht="11" customHeight="1">
      <c r="F3" s="126" t="s">
        <v>1159</v>
      </c>
    </row>
    <row r="4" spans="1:6" ht="11" customHeight="1">
      <c r="F4" s="126" t="s">
        <v>1158</v>
      </c>
    </row>
    <row r="5" spans="1:6" ht="16" customHeight="1">
      <c r="A5" s="125" t="s">
        <v>1157</v>
      </c>
      <c r="F5" s="124" t="s">
        <v>1156</v>
      </c>
    </row>
    <row r="6" spans="1:6" ht="11" customHeight="1"/>
    <row r="7" spans="1:6" ht="13" customHeight="1">
      <c r="A7" s="358" t="s">
        <v>93</v>
      </c>
      <c r="B7" s="358"/>
      <c r="C7" s="358"/>
      <c r="D7" s="358"/>
      <c r="E7" s="358"/>
      <c r="F7" s="358"/>
    </row>
    <row r="8" spans="1:6" s="123" customFormat="1" ht="3" customHeight="1"/>
    <row r="9" spans="1:6" ht="11" customHeight="1">
      <c r="A9" s="107" t="s">
        <v>1154</v>
      </c>
      <c r="B9" s="107" t="s">
        <v>1153</v>
      </c>
      <c r="C9" s="107" t="s">
        <v>1152</v>
      </c>
      <c r="D9" s="107" t="s">
        <v>1151</v>
      </c>
      <c r="E9" s="107" t="s">
        <v>1239</v>
      </c>
      <c r="F9" s="107" t="s">
        <v>1240</v>
      </c>
    </row>
    <row r="10" spans="1:6" ht="23" customHeight="1">
      <c r="A10" s="121">
        <v>1</v>
      </c>
      <c r="B10" s="120" t="s">
        <v>1242</v>
      </c>
      <c r="C10" s="119" t="s">
        <v>1191</v>
      </c>
      <c r="D10" s="107">
        <v>1E-3</v>
      </c>
      <c r="E10" s="107">
        <v>468.33</v>
      </c>
      <c r="F10" s="107">
        <f t="shared" ref="F10:F19" si="0">D10*E10</f>
        <v>0.46832999999999997</v>
      </c>
    </row>
    <row r="11" spans="1:6" ht="11" customHeight="1">
      <c r="A11" s="121">
        <v>2</v>
      </c>
      <c r="B11" s="120" t="s">
        <v>1144</v>
      </c>
      <c r="C11" s="119" t="s">
        <v>1140</v>
      </c>
      <c r="D11" s="107" t="s">
        <v>1142</v>
      </c>
      <c r="E11" s="107">
        <v>1.4</v>
      </c>
      <c r="F11" s="107">
        <f t="shared" si="0"/>
        <v>1.4</v>
      </c>
    </row>
    <row r="12" spans="1:6" ht="11" customHeight="1">
      <c r="A12" s="121">
        <v>3</v>
      </c>
      <c r="B12" s="120" t="s">
        <v>1256</v>
      </c>
      <c r="C12" s="119" t="s">
        <v>1140</v>
      </c>
      <c r="D12" s="107" t="s">
        <v>1210</v>
      </c>
      <c r="E12" s="107">
        <v>0.52</v>
      </c>
      <c r="F12" s="107">
        <f t="shared" si="0"/>
        <v>6.24</v>
      </c>
    </row>
    <row r="13" spans="1:6" ht="11" customHeight="1">
      <c r="A13" s="121">
        <v>4</v>
      </c>
      <c r="B13" s="120" t="s">
        <v>1184</v>
      </c>
      <c r="C13" s="119" t="s">
        <v>1140</v>
      </c>
      <c r="D13" s="107" t="s">
        <v>1142</v>
      </c>
      <c r="E13" s="107"/>
      <c r="F13" s="107">
        <f t="shared" si="0"/>
        <v>0</v>
      </c>
    </row>
    <row r="14" spans="1:6" ht="11" customHeight="1">
      <c r="A14" s="121">
        <v>5</v>
      </c>
      <c r="B14" s="120" t="s">
        <v>1209</v>
      </c>
      <c r="C14" s="119" t="s">
        <v>1140</v>
      </c>
      <c r="D14" s="107" t="s">
        <v>1142</v>
      </c>
      <c r="E14" s="107">
        <v>36.299999999999997</v>
      </c>
      <c r="F14" s="107">
        <f t="shared" si="0"/>
        <v>36.299999999999997</v>
      </c>
    </row>
    <row r="15" spans="1:6" ht="11" customHeight="1">
      <c r="A15" s="121">
        <v>6</v>
      </c>
      <c r="B15" s="120" t="s">
        <v>1208</v>
      </c>
      <c r="C15" s="119" t="s">
        <v>1140</v>
      </c>
      <c r="D15" s="107" t="s">
        <v>1115</v>
      </c>
      <c r="E15" s="107">
        <v>9.92</v>
      </c>
      <c r="F15" s="107">
        <f t="shared" si="0"/>
        <v>19.84</v>
      </c>
    </row>
    <row r="16" spans="1:6" ht="11" customHeight="1">
      <c r="A16" s="121">
        <v>7</v>
      </c>
      <c r="B16" s="120" t="s">
        <v>1207</v>
      </c>
      <c r="C16" s="119" t="s">
        <v>1140</v>
      </c>
      <c r="D16" s="107" t="s">
        <v>1206</v>
      </c>
      <c r="E16" s="107">
        <v>2</v>
      </c>
      <c r="F16" s="107">
        <f t="shared" si="0"/>
        <v>40</v>
      </c>
    </row>
    <row r="17" spans="1:6" ht="11" customHeight="1">
      <c r="A17" s="121">
        <v>8</v>
      </c>
      <c r="B17" s="120" t="s">
        <v>1135</v>
      </c>
      <c r="C17" s="119" t="s">
        <v>1120</v>
      </c>
      <c r="D17" s="107">
        <v>4.4999999999999998E-2</v>
      </c>
      <c r="E17" s="107">
        <v>205.52</v>
      </c>
      <c r="F17" s="107">
        <f t="shared" si="0"/>
        <v>9.2484000000000002</v>
      </c>
    </row>
    <row r="18" spans="1:6" ht="11" customHeight="1">
      <c r="A18" s="121">
        <v>9</v>
      </c>
      <c r="B18" s="120" t="s">
        <v>1258</v>
      </c>
      <c r="C18" s="119" t="s">
        <v>1120</v>
      </c>
      <c r="D18" s="107">
        <v>0.84099999999999997</v>
      </c>
      <c r="E18" s="107">
        <v>60.83</v>
      </c>
      <c r="F18" s="107">
        <f t="shared" si="0"/>
        <v>51.158029999999997</v>
      </c>
    </row>
    <row r="19" spans="1:6" ht="17.25" customHeight="1">
      <c r="A19" s="121">
        <v>10</v>
      </c>
      <c r="B19" s="120" t="s">
        <v>1121</v>
      </c>
      <c r="C19" s="119" t="s">
        <v>1120</v>
      </c>
      <c r="D19" s="107">
        <v>2E-3</v>
      </c>
      <c r="E19" s="107">
        <v>290</v>
      </c>
      <c r="F19" s="107">
        <f t="shared" si="0"/>
        <v>0.57999999999999996</v>
      </c>
    </row>
    <row r="20" spans="1:6" ht="39" customHeight="1">
      <c r="A20" s="118"/>
      <c r="B20" s="105" t="s">
        <v>1118</v>
      </c>
      <c r="C20" s="105"/>
      <c r="D20" s="105"/>
      <c r="E20" s="105"/>
      <c r="F20" s="103">
        <f>SUM(F10:F19)</f>
        <v>165.23476000000002</v>
      </c>
    </row>
    <row r="21" spans="1:6" ht="24.75" customHeight="1">
      <c r="A21" s="117"/>
      <c r="B21" s="104" t="s">
        <v>1117</v>
      </c>
      <c r="C21" s="104"/>
      <c r="D21" s="104"/>
      <c r="E21" s="108">
        <v>0.01</v>
      </c>
      <c r="F21" s="107">
        <f>F20*E21</f>
        <v>1.6523476000000004</v>
      </c>
    </row>
    <row r="22" spans="1:6" ht="24" customHeight="1">
      <c r="A22" s="115"/>
      <c r="B22" s="105" t="s">
        <v>1116</v>
      </c>
      <c r="C22" s="105"/>
      <c r="D22" s="105"/>
      <c r="E22" s="105"/>
      <c r="F22" s="103">
        <f>SUM(F20,F21)</f>
        <v>166.88710760000004</v>
      </c>
    </row>
    <row r="23" spans="1:6" ht="17.25" customHeight="1">
      <c r="A23" s="104" t="s">
        <v>1115</v>
      </c>
      <c r="B23" s="104" t="s">
        <v>1114</v>
      </c>
      <c r="C23" s="104"/>
      <c r="D23" s="104"/>
      <c r="E23" s="108">
        <v>0.11</v>
      </c>
      <c r="F23" s="134">
        <f>F22*E23</f>
        <v>18.357581836000005</v>
      </c>
    </row>
    <row r="24" spans="1:6" ht="18" customHeight="1">
      <c r="A24" s="104"/>
      <c r="B24" s="109" t="s">
        <v>1113</v>
      </c>
      <c r="C24" s="104"/>
      <c r="D24" s="104"/>
      <c r="E24" s="108">
        <v>0.14000000000000001</v>
      </c>
      <c r="F24" s="134">
        <f>F23*E24</f>
        <v>2.5700614570400009</v>
      </c>
    </row>
    <row r="25" spans="1:6" ht="17.25" customHeight="1">
      <c r="A25" s="104"/>
      <c r="B25" s="109" t="s">
        <v>1112</v>
      </c>
      <c r="C25" s="104"/>
      <c r="D25" s="104"/>
      <c r="E25" s="111">
        <v>0.309</v>
      </c>
      <c r="F25" s="134">
        <f>(F23+F24)*E25</f>
        <v>6.4666417775493619</v>
      </c>
    </row>
    <row r="26" spans="1:6" ht="14.25" customHeight="1">
      <c r="A26" s="104"/>
      <c r="B26" s="109" t="s">
        <v>1111</v>
      </c>
      <c r="C26" s="104"/>
      <c r="D26" s="104"/>
      <c r="E26" s="111">
        <v>0</v>
      </c>
      <c r="F26" s="134">
        <v>0</v>
      </c>
    </row>
    <row r="27" spans="1:6" ht="31.5" customHeight="1">
      <c r="A27" s="104" t="s">
        <v>1110</v>
      </c>
      <c r="B27" s="109" t="s">
        <v>1109</v>
      </c>
      <c r="C27" s="104"/>
      <c r="D27" s="104"/>
      <c r="E27" s="108">
        <v>1.5</v>
      </c>
      <c r="F27" s="134">
        <f>F23*E27</f>
        <v>27.536372754000006</v>
      </c>
    </row>
    <row r="28" spans="1:6" ht="30.75" customHeight="1">
      <c r="A28" s="104" t="s">
        <v>1108</v>
      </c>
      <c r="B28" s="104" t="s">
        <v>1107</v>
      </c>
      <c r="C28" s="104"/>
      <c r="D28" s="104"/>
      <c r="E28" s="107"/>
      <c r="F28" s="134">
        <f>F22+F23+F24+F25+F26+F27</f>
        <v>221.81776542458942</v>
      </c>
    </row>
    <row r="29" spans="1:6" ht="16.5" customHeight="1">
      <c r="A29" s="104" t="s">
        <v>1106</v>
      </c>
      <c r="B29" s="104" t="s">
        <v>1105</v>
      </c>
      <c r="C29" s="104"/>
      <c r="D29" s="104"/>
      <c r="E29" s="108">
        <v>1</v>
      </c>
      <c r="F29" s="134">
        <f>F23*E29</f>
        <v>18.357581836000005</v>
      </c>
    </row>
    <row r="30" spans="1:6" ht="11" customHeight="1">
      <c r="A30" s="104"/>
      <c r="B30" s="104"/>
      <c r="C30" s="104"/>
      <c r="D30" s="104"/>
      <c r="E30" s="108">
        <v>0.8</v>
      </c>
      <c r="F30" s="121">
        <f>F23*E30</f>
        <v>14.686065468800004</v>
      </c>
    </row>
    <row r="31" spans="1:6" ht="11" customHeight="1">
      <c r="A31" s="104" t="s">
        <v>1104</v>
      </c>
      <c r="B31" s="104" t="s">
        <v>1103</v>
      </c>
      <c r="C31" s="104"/>
      <c r="D31" s="104"/>
      <c r="E31" s="107"/>
      <c r="F31" s="142">
        <f>F28+F29</f>
        <v>240.17534726058943</v>
      </c>
    </row>
    <row r="32" spans="1:6" ht="11" customHeight="1">
      <c r="A32" s="104"/>
      <c r="B32" s="104"/>
      <c r="C32" s="104"/>
      <c r="D32" s="104"/>
      <c r="E32" s="107"/>
      <c r="F32" s="134">
        <f>F28+F30</f>
        <v>236.50383089338942</v>
      </c>
    </row>
    <row r="33" spans="1:6" ht="11" customHeight="1">
      <c r="A33" s="104" t="s">
        <v>1102</v>
      </c>
      <c r="B33" s="104" t="s">
        <v>83</v>
      </c>
      <c r="C33" s="104"/>
      <c r="D33" s="104"/>
      <c r="E33" s="108">
        <v>0.4</v>
      </c>
      <c r="F33" s="134">
        <f>F31*E33</f>
        <v>96.070138904235776</v>
      </c>
    </row>
    <row r="34" spans="1:6" ht="11" customHeight="1">
      <c r="A34" s="104"/>
      <c r="B34" s="104"/>
      <c r="C34" s="104"/>
      <c r="D34" s="104"/>
      <c r="E34" s="108">
        <v>7.0000000000000007E-2</v>
      </c>
      <c r="F34" s="134">
        <f>F32*E34</f>
        <v>16.55526816253726</v>
      </c>
    </row>
    <row r="35" spans="1:6" ht="11" customHeight="1">
      <c r="A35" s="104" t="s">
        <v>1101</v>
      </c>
      <c r="B35" s="104" t="s">
        <v>1100</v>
      </c>
      <c r="C35" s="104"/>
      <c r="D35" s="104"/>
      <c r="E35" s="107"/>
      <c r="F35" s="134">
        <v>16.91</v>
      </c>
    </row>
    <row r="36" spans="1:6" ht="21.75" customHeight="1">
      <c r="A36" s="104"/>
      <c r="B36" s="104" t="s">
        <v>1099</v>
      </c>
      <c r="C36" s="104"/>
      <c r="D36" s="104"/>
      <c r="E36" s="107"/>
      <c r="F36" s="134">
        <f>F31+F33+F35</f>
        <v>353.15548616482522</v>
      </c>
    </row>
    <row r="37" spans="1:6" ht="11" customHeight="1">
      <c r="A37" s="104"/>
      <c r="B37" s="104"/>
      <c r="C37" s="104"/>
      <c r="D37" s="104"/>
      <c r="E37" s="107"/>
      <c r="F37" s="134">
        <f>F32+F34+F35</f>
        <v>269.96909905592668</v>
      </c>
    </row>
    <row r="38" spans="1:6" ht="21.75" customHeight="1">
      <c r="A38" s="104"/>
      <c r="B38" s="104" t="s">
        <v>1098</v>
      </c>
      <c r="C38" s="104"/>
      <c r="D38" s="104"/>
      <c r="E38" s="108">
        <v>0.22</v>
      </c>
      <c r="F38" s="134">
        <f>F36*E38</f>
        <v>77.694206956261553</v>
      </c>
    </row>
    <row r="39" spans="1:6" ht="11" customHeight="1">
      <c r="A39" s="104"/>
      <c r="B39" s="104"/>
      <c r="C39" s="104"/>
      <c r="D39" s="104"/>
      <c r="E39" s="108">
        <v>0.22</v>
      </c>
      <c r="F39" s="134">
        <f>F37*E39</f>
        <v>59.39320179230387</v>
      </c>
    </row>
    <row r="40" spans="1:6" ht="11" customHeight="1">
      <c r="A40" s="104"/>
      <c r="B40" s="105" t="s">
        <v>1097</v>
      </c>
      <c r="C40" s="104"/>
      <c r="D40" s="104"/>
      <c r="E40" s="103" t="s">
        <v>1096</v>
      </c>
      <c r="F40" s="132">
        <f>F36+F38</f>
        <v>430.84969312108677</v>
      </c>
    </row>
    <row r="41" spans="1:6" ht="11" customHeight="1">
      <c r="A41" s="104"/>
      <c r="B41" s="104"/>
      <c r="C41" s="104"/>
      <c r="D41" s="104"/>
      <c r="E41" s="103" t="s">
        <v>1095</v>
      </c>
      <c r="F41" s="132">
        <f>F37+F39</f>
        <v>329.36230084823057</v>
      </c>
    </row>
    <row r="42" spans="1:6" ht="11" customHeight="1"/>
    <row r="43" spans="1:6" ht="11" customHeight="1"/>
    <row r="44" spans="1:6" ht="11" customHeight="1">
      <c r="B44" s="101" t="s">
        <v>1094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pageOrder="overThenDown" orientation="portrait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  <pageSetUpPr autoPageBreaks="0"/>
  </sheetPr>
  <dimension ref="A1:F47"/>
  <sheetViews>
    <sheetView topLeftCell="A6" workbookViewId="0">
      <selection activeCell="F34" sqref="F34"/>
    </sheetView>
  </sheetViews>
  <sheetFormatPr baseColWidth="10" defaultColWidth="9" defaultRowHeight="11.5" customHeight="1"/>
  <cols>
    <col min="1" max="1" width="5.5" style="101" customWidth="1"/>
    <col min="2" max="2" width="42.1640625" style="101" customWidth="1"/>
    <col min="3" max="3" width="12.5" style="101" customWidth="1"/>
    <col min="4" max="4" width="8.5" style="101" customWidth="1"/>
    <col min="5" max="5" width="9.5" style="101" customWidth="1"/>
    <col min="6" max="6" width="14.1640625" style="101" customWidth="1"/>
    <col min="7" max="16384" width="9" style="100"/>
  </cols>
  <sheetData>
    <row r="1" spans="1:6" ht="11" customHeight="1">
      <c r="F1" s="126" t="s">
        <v>1161</v>
      </c>
    </row>
    <row r="2" spans="1:6" ht="11" customHeight="1">
      <c r="F2" s="126" t="s">
        <v>1160</v>
      </c>
    </row>
    <row r="3" spans="1:6" ht="11" customHeight="1">
      <c r="F3" s="126" t="s">
        <v>1159</v>
      </c>
    </row>
    <row r="4" spans="1:6" ht="11" customHeight="1">
      <c r="F4" s="126" t="s">
        <v>1158</v>
      </c>
    </row>
    <row r="5" spans="1:6" ht="16" customHeight="1">
      <c r="A5" s="125" t="s">
        <v>1157</v>
      </c>
      <c r="F5" s="124" t="s">
        <v>1156</v>
      </c>
    </row>
    <row r="6" spans="1:6" ht="11" customHeight="1"/>
    <row r="7" spans="1:6" ht="13" customHeight="1">
      <c r="A7" s="358" t="s">
        <v>95</v>
      </c>
      <c r="B7" s="358"/>
      <c r="C7" s="358"/>
      <c r="D7" s="358"/>
      <c r="E7" s="358"/>
      <c r="F7" s="358"/>
    </row>
    <row r="8" spans="1:6" s="123" customFormat="1" ht="3" customHeight="1"/>
    <row r="9" spans="1:6" ht="11" customHeight="1">
      <c r="A9" s="107" t="s">
        <v>1154</v>
      </c>
      <c r="B9" s="107" t="s">
        <v>1153</v>
      </c>
      <c r="C9" s="107" t="s">
        <v>1152</v>
      </c>
      <c r="D9" s="107" t="s">
        <v>1151</v>
      </c>
      <c r="E9" s="107" t="s">
        <v>1239</v>
      </c>
      <c r="F9" s="107" t="s">
        <v>1240</v>
      </c>
    </row>
    <row r="10" spans="1:6" ht="23" customHeight="1">
      <c r="A10" s="121">
        <v>1</v>
      </c>
      <c r="B10" s="120" t="s">
        <v>1242</v>
      </c>
      <c r="C10" s="119" t="s">
        <v>1191</v>
      </c>
      <c r="D10" s="107">
        <v>1E-3</v>
      </c>
      <c r="E10" s="107">
        <v>468.33</v>
      </c>
      <c r="F10" s="107">
        <f t="shared" ref="F10:F22" si="0">E10*D10</f>
        <v>0.46832999999999997</v>
      </c>
    </row>
    <row r="11" spans="1:6" ht="11" customHeight="1">
      <c r="A11" s="121">
        <v>2</v>
      </c>
      <c r="B11" s="120" t="s">
        <v>1144</v>
      </c>
      <c r="C11" s="119" t="s">
        <v>1140</v>
      </c>
      <c r="D11" s="107" t="s">
        <v>1142</v>
      </c>
      <c r="E11" s="107">
        <v>1.4</v>
      </c>
      <c r="F11" s="107">
        <f t="shared" si="0"/>
        <v>1.4</v>
      </c>
    </row>
    <row r="12" spans="1:6" ht="11" customHeight="1">
      <c r="A12" s="121">
        <v>3</v>
      </c>
      <c r="B12" s="120" t="s">
        <v>1211</v>
      </c>
      <c r="C12" s="119" t="s">
        <v>1140</v>
      </c>
      <c r="D12" s="107" t="s">
        <v>1108</v>
      </c>
      <c r="E12" s="107">
        <v>15.27</v>
      </c>
      <c r="F12" s="107">
        <f t="shared" si="0"/>
        <v>61.08</v>
      </c>
    </row>
    <row r="13" spans="1:6" ht="11" customHeight="1">
      <c r="A13" s="121">
        <v>4</v>
      </c>
      <c r="B13" s="120" t="s">
        <v>1251</v>
      </c>
      <c r="C13" s="119" t="s">
        <v>1140</v>
      </c>
      <c r="D13" s="107" t="s">
        <v>1115</v>
      </c>
      <c r="E13" s="107">
        <v>0.24</v>
      </c>
      <c r="F13" s="107">
        <f t="shared" si="0"/>
        <v>0.48</v>
      </c>
    </row>
    <row r="14" spans="1:6" ht="11" customHeight="1">
      <c r="A14" s="121">
        <v>5</v>
      </c>
      <c r="B14" s="120" t="s">
        <v>1256</v>
      </c>
      <c r="C14" s="119" t="s">
        <v>1140</v>
      </c>
      <c r="D14" s="107" t="s">
        <v>1210</v>
      </c>
      <c r="E14" s="107">
        <v>0.52</v>
      </c>
      <c r="F14" s="107">
        <f t="shared" si="0"/>
        <v>6.24</v>
      </c>
    </row>
    <row r="15" spans="1:6" ht="11" customHeight="1">
      <c r="A15" s="121">
        <v>6</v>
      </c>
      <c r="B15" s="120" t="s">
        <v>1184</v>
      </c>
      <c r="C15" s="119" t="s">
        <v>1140</v>
      </c>
      <c r="D15" s="107" t="s">
        <v>1142</v>
      </c>
      <c r="E15" s="107"/>
      <c r="F15" s="107">
        <f t="shared" si="0"/>
        <v>0</v>
      </c>
    </row>
    <row r="16" spans="1:6" ht="11" customHeight="1">
      <c r="A16" s="121">
        <v>7</v>
      </c>
      <c r="B16" s="120" t="s">
        <v>1209</v>
      </c>
      <c r="C16" s="119" t="s">
        <v>1140</v>
      </c>
      <c r="D16" s="107" t="s">
        <v>1142</v>
      </c>
      <c r="E16" s="107">
        <v>36.299999999999997</v>
      </c>
      <c r="F16" s="107">
        <f t="shared" si="0"/>
        <v>36.299999999999997</v>
      </c>
    </row>
    <row r="17" spans="1:6" ht="11" customHeight="1">
      <c r="A17" s="121">
        <v>8</v>
      </c>
      <c r="B17" s="120" t="s">
        <v>1201</v>
      </c>
      <c r="C17" s="119" t="s">
        <v>1140</v>
      </c>
      <c r="D17" s="107" t="s">
        <v>1115</v>
      </c>
      <c r="E17" s="107">
        <v>2.98</v>
      </c>
      <c r="F17" s="107">
        <f t="shared" si="0"/>
        <v>5.96</v>
      </c>
    </row>
    <row r="18" spans="1:6" ht="11" customHeight="1">
      <c r="A18" s="121">
        <v>9</v>
      </c>
      <c r="B18" s="120" t="s">
        <v>1257</v>
      </c>
      <c r="C18" s="119" t="s">
        <v>1140</v>
      </c>
      <c r="D18" s="107" t="s">
        <v>1108</v>
      </c>
      <c r="E18" s="107">
        <v>0.24</v>
      </c>
      <c r="F18" s="107">
        <f t="shared" si="0"/>
        <v>0.96</v>
      </c>
    </row>
    <row r="19" spans="1:6" ht="11" customHeight="1">
      <c r="A19" s="121">
        <v>10</v>
      </c>
      <c r="B19" s="120" t="s">
        <v>1207</v>
      </c>
      <c r="C19" s="119" t="s">
        <v>1140</v>
      </c>
      <c r="D19" s="107" t="s">
        <v>1205</v>
      </c>
      <c r="E19" s="107">
        <v>2</v>
      </c>
      <c r="F19" s="107">
        <f t="shared" si="0"/>
        <v>80</v>
      </c>
    </row>
    <row r="20" spans="1:6" ht="11" customHeight="1">
      <c r="A20" s="121">
        <v>11</v>
      </c>
      <c r="B20" s="120" t="s">
        <v>1135</v>
      </c>
      <c r="C20" s="119" t="s">
        <v>1120</v>
      </c>
      <c r="D20" s="107">
        <v>0.13700000000000001</v>
      </c>
      <c r="E20" s="107">
        <v>205.52</v>
      </c>
      <c r="F20" s="107">
        <f t="shared" si="0"/>
        <v>28.156240000000004</v>
      </c>
    </row>
    <row r="21" spans="1:6" ht="11" customHeight="1">
      <c r="A21" s="121">
        <v>12</v>
      </c>
      <c r="B21" s="120" t="s">
        <v>1258</v>
      </c>
      <c r="C21" s="119" t="s">
        <v>1120</v>
      </c>
      <c r="D21" s="107">
        <v>2.1989999999999998</v>
      </c>
      <c r="E21" s="107">
        <v>60.83</v>
      </c>
      <c r="F21" s="107">
        <f t="shared" si="0"/>
        <v>133.76516999999998</v>
      </c>
    </row>
    <row r="22" spans="1:6" ht="11" customHeight="1">
      <c r="A22" s="121">
        <v>13</v>
      </c>
      <c r="B22" s="120" t="s">
        <v>1121</v>
      </c>
      <c r="C22" s="119" t="s">
        <v>1120</v>
      </c>
      <c r="D22" s="107">
        <v>6.0000000000000001E-3</v>
      </c>
      <c r="E22" s="107">
        <v>290</v>
      </c>
      <c r="F22" s="107">
        <f t="shared" si="0"/>
        <v>1.74</v>
      </c>
    </row>
    <row r="23" spans="1:6" ht="24.75" customHeight="1">
      <c r="A23" s="118"/>
      <c r="B23" s="105" t="s">
        <v>1118</v>
      </c>
      <c r="C23" s="105"/>
      <c r="D23" s="105"/>
      <c r="E23" s="105"/>
      <c r="F23" s="103">
        <f>SUM(F10:F22)</f>
        <v>356.54973999999999</v>
      </c>
    </row>
    <row r="24" spans="1:6" ht="16.5" customHeight="1">
      <c r="A24" s="117"/>
      <c r="B24" s="104" t="s">
        <v>1117</v>
      </c>
      <c r="C24" s="104"/>
      <c r="D24" s="104"/>
      <c r="E24" s="108">
        <v>0.01</v>
      </c>
      <c r="F24" s="107">
        <f>F23*E24</f>
        <v>3.5654973999999999</v>
      </c>
    </row>
    <row r="25" spans="1:6" ht="17.25" customHeight="1">
      <c r="A25" s="115"/>
      <c r="B25" s="105" t="s">
        <v>1116</v>
      </c>
      <c r="C25" s="105"/>
      <c r="D25" s="105"/>
      <c r="E25" s="105"/>
      <c r="F25" s="103">
        <f>SUM(F23,F24)</f>
        <v>360.11523740000001</v>
      </c>
    </row>
    <row r="26" spans="1:6" ht="14.25" customHeight="1">
      <c r="A26" s="104" t="s">
        <v>1115</v>
      </c>
      <c r="B26" s="104" t="s">
        <v>1114</v>
      </c>
      <c r="C26" s="104"/>
      <c r="D26" s="104"/>
      <c r="E26" s="108">
        <v>0.11</v>
      </c>
      <c r="F26" s="142">
        <f>F25*E26</f>
        <v>39.612676114000003</v>
      </c>
    </row>
    <row r="27" spans="1:6" ht="13.5" customHeight="1">
      <c r="A27" s="104"/>
      <c r="B27" s="109" t="s">
        <v>1113</v>
      </c>
      <c r="C27" s="104"/>
      <c r="D27" s="104"/>
      <c r="E27" s="108">
        <v>0.14000000000000001</v>
      </c>
      <c r="F27" s="134">
        <f>F25*E27</f>
        <v>50.416133236000007</v>
      </c>
    </row>
    <row r="28" spans="1:6" ht="16.5" customHeight="1">
      <c r="A28" s="104"/>
      <c r="B28" s="109" t="s">
        <v>1112</v>
      </c>
      <c r="C28" s="104"/>
      <c r="D28" s="104"/>
      <c r="E28" s="111">
        <v>0.309</v>
      </c>
      <c r="F28" s="134">
        <f>(F26+F27)*E28</f>
        <v>27.818902089150004</v>
      </c>
    </row>
    <row r="29" spans="1:6" ht="11" customHeight="1">
      <c r="A29" s="104"/>
      <c r="B29" s="109" t="s">
        <v>1111</v>
      </c>
      <c r="C29" s="104"/>
      <c r="D29" s="104"/>
      <c r="E29" s="107">
        <v>0</v>
      </c>
      <c r="F29" s="134">
        <v>0</v>
      </c>
    </row>
    <row r="30" spans="1:6" ht="15" customHeight="1">
      <c r="A30" s="104" t="s">
        <v>1110</v>
      </c>
      <c r="B30" s="109" t="s">
        <v>1109</v>
      </c>
      <c r="C30" s="104"/>
      <c r="D30" s="104"/>
      <c r="E30" s="108">
        <v>1.5</v>
      </c>
      <c r="F30" s="134">
        <f>F26*E30</f>
        <v>59.419014171000001</v>
      </c>
    </row>
    <row r="31" spans="1:6" ht="16.5" customHeight="1">
      <c r="A31" s="104" t="s">
        <v>1108</v>
      </c>
      <c r="B31" s="104" t="s">
        <v>1107</v>
      </c>
      <c r="C31" s="104"/>
      <c r="D31" s="104"/>
      <c r="E31" s="107"/>
      <c r="F31" s="134">
        <f>F25+F26+F27+F28+F29+F30</f>
        <v>537.38196301015</v>
      </c>
    </row>
    <row r="32" spans="1:6" ht="15" customHeight="1">
      <c r="A32" s="104" t="s">
        <v>1106</v>
      </c>
      <c r="B32" s="104" t="s">
        <v>1105</v>
      </c>
      <c r="C32" s="104"/>
      <c r="D32" s="104"/>
      <c r="E32" s="108">
        <v>1</v>
      </c>
      <c r="F32" s="142">
        <f>F26*E32</f>
        <v>39.612676114000003</v>
      </c>
    </row>
    <row r="33" spans="1:6" ht="15" customHeight="1">
      <c r="A33" s="104"/>
      <c r="B33" s="104"/>
      <c r="C33" s="104"/>
      <c r="D33" s="104"/>
      <c r="E33" s="108">
        <v>0.8</v>
      </c>
      <c r="F33" s="121">
        <f>F26*E33</f>
        <v>31.690140891200002</v>
      </c>
    </row>
    <row r="34" spans="1:6" ht="15" customHeight="1">
      <c r="A34" s="104" t="s">
        <v>1104</v>
      </c>
      <c r="B34" s="104" t="s">
        <v>1103</v>
      </c>
      <c r="C34" s="104"/>
      <c r="D34" s="104"/>
      <c r="E34" s="107"/>
      <c r="F34" s="134">
        <f>F31+F32</f>
        <v>576.99463912415001</v>
      </c>
    </row>
    <row r="35" spans="1:6" ht="21.75" customHeight="1">
      <c r="A35" s="104"/>
      <c r="B35" s="104"/>
      <c r="C35" s="104"/>
      <c r="D35" s="104"/>
      <c r="E35" s="107"/>
      <c r="F35" s="134">
        <f>F31+F33</f>
        <v>569.07210390135003</v>
      </c>
    </row>
    <row r="36" spans="1:6" ht="15.75" customHeight="1">
      <c r="A36" s="104" t="s">
        <v>1102</v>
      </c>
      <c r="B36" s="104" t="s">
        <v>83</v>
      </c>
      <c r="C36" s="104"/>
      <c r="D36" s="104"/>
      <c r="E36" s="108">
        <v>0.4</v>
      </c>
      <c r="F36" s="134">
        <f>F34*E36</f>
        <v>230.79785564966002</v>
      </c>
    </row>
    <row r="37" spans="1:6" ht="16.5" customHeight="1">
      <c r="A37" s="104"/>
      <c r="B37" s="104"/>
      <c r="C37" s="104"/>
      <c r="D37" s="104"/>
      <c r="E37" s="108">
        <v>7.0000000000000007E-2</v>
      </c>
      <c r="F37" s="134">
        <f>F35*E37</f>
        <v>39.835047273094503</v>
      </c>
    </row>
    <row r="38" spans="1:6" ht="14.25" customHeight="1">
      <c r="A38" s="104" t="s">
        <v>1101</v>
      </c>
      <c r="B38" s="104" t="s">
        <v>1100</v>
      </c>
      <c r="C38" s="104"/>
      <c r="D38" s="104"/>
      <c r="E38" s="107"/>
      <c r="F38" s="134">
        <v>30.41</v>
      </c>
    </row>
    <row r="39" spans="1:6" ht="15.75" customHeight="1">
      <c r="A39" s="104"/>
      <c r="B39" s="104" t="s">
        <v>1099</v>
      </c>
      <c r="C39" s="104"/>
      <c r="D39" s="104"/>
      <c r="E39" s="107"/>
      <c r="F39" s="134">
        <f>F34+F36+F38</f>
        <v>838.20249477381003</v>
      </c>
    </row>
    <row r="40" spans="1:6" ht="11" customHeight="1">
      <c r="A40" s="104"/>
      <c r="B40" s="104"/>
      <c r="C40" s="104"/>
      <c r="D40" s="104"/>
      <c r="E40" s="107"/>
      <c r="F40" s="134">
        <f>F35+F37+F38</f>
        <v>639.31715117444446</v>
      </c>
    </row>
    <row r="41" spans="1:6" ht="15" customHeight="1">
      <c r="A41" s="104"/>
      <c r="B41" s="104" t="s">
        <v>1098</v>
      </c>
      <c r="C41" s="104"/>
      <c r="D41" s="104"/>
      <c r="E41" s="108">
        <v>0.22</v>
      </c>
      <c r="F41" s="134">
        <f>F39*E41</f>
        <v>184.4045488502382</v>
      </c>
    </row>
    <row r="42" spans="1:6" ht="12.75" customHeight="1">
      <c r="A42" s="104"/>
      <c r="B42" s="104"/>
      <c r="C42" s="104"/>
      <c r="D42" s="104"/>
      <c r="E42" s="108">
        <v>0.22</v>
      </c>
      <c r="F42" s="134">
        <f>F40*E42</f>
        <v>140.64977325837779</v>
      </c>
    </row>
    <row r="43" spans="1:6" ht="13.5" customHeight="1">
      <c r="A43" s="104"/>
      <c r="B43" s="105" t="s">
        <v>1097</v>
      </c>
      <c r="C43" s="104"/>
      <c r="D43" s="104"/>
      <c r="E43" s="103" t="s">
        <v>1096</v>
      </c>
      <c r="F43" s="132">
        <f>F39+F41</f>
        <v>1022.6070436240482</v>
      </c>
    </row>
    <row r="44" spans="1:6" ht="14.25" customHeight="1">
      <c r="A44" s="104"/>
      <c r="B44" s="104"/>
      <c r="C44" s="104"/>
      <c r="D44" s="104"/>
      <c r="E44" s="103" t="s">
        <v>1095</v>
      </c>
      <c r="F44" s="132">
        <f>F40+F42</f>
        <v>779.96692443282222</v>
      </c>
    </row>
    <row r="45" spans="1:6" ht="11" customHeight="1"/>
    <row r="46" spans="1:6" ht="11" customHeight="1"/>
    <row r="47" spans="1:6" ht="11" customHeight="1">
      <c r="B47" s="101" t="s">
        <v>1094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pageOrder="overThenDown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  <pageSetUpPr autoPageBreaks="0"/>
  </sheetPr>
  <dimension ref="A1:F47"/>
  <sheetViews>
    <sheetView topLeftCell="A4" zoomScale="110" zoomScaleNormal="110" workbookViewId="0">
      <selection activeCell="F38" sqref="F38"/>
    </sheetView>
  </sheetViews>
  <sheetFormatPr baseColWidth="10" defaultColWidth="9" defaultRowHeight="11.5" customHeight="1"/>
  <cols>
    <col min="1" max="1" width="5.5" style="101" customWidth="1"/>
    <col min="2" max="2" width="42.1640625" style="101" customWidth="1"/>
    <col min="3" max="3" width="12.5" style="101" customWidth="1"/>
    <col min="4" max="4" width="8.5" style="101" customWidth="1"/>
    <col min="5" max="5" width="9.5" style="101" customWidth="1"/>
    <col min="6" max="6" width="14.1640625" style="101" customWidth="1"/>
    <col min="7" max="16384" width="9" style="100"/>
  </cols>
  <sheetData>
    <row r="1" spans="1:6" ht="11" customHeight="1">
      <c r="F1" s="126" t="s">
        <v>1161</v>
      </c>
    </row>
    <row r="2" spans="1:6" ht="11" customHeight="1">
      <c r="F2" s="126" t="s">
        <v>1160</v>
      </c>
    </row>
    <row r="3" spans="1:6" ht="11" customHeight="1">
      <c r="F3" s="126" t="s">
        <v>1159</v>
      </c>
    </row>
    <row r="4" spans="1:6" ht="11" customHeight="1">
      <c r="F4" s="126" t="s">
        <v>1158</v>
      </c>
    </row>
    <row r="5" spans="1:6" ht="16" customHeight="1">
      <c r="A5" s="125" t="s">
        <v>1157</v>
      </c>
      <c r="F5" s="124" t="s">
        <v>1156</v>
      </c>
    </row>
    <row r="6" spans="1:6" ht="11" customHeight="1"/>
    <row r="7" spans="1:6" ht="13" customHeight="1">
      <c r="A7" s="358" t="s">
        <v>97</v>
      </c>
      <c r="B7" s="358"/>
      <c r="C7" s="358"/>
      <c r="D7" s="358"/>
      <c r="E7" s="358"/>
      <c r="F7" s="358"/>
    </row>
    <row r="8" spans="1:6" s="123" customFormat="1" ht="3" customHeight="1"/>
    <row r="9" spans="1:6" ht="11" customHeight="1">
      <c r="A9" s="107" t="s">
        <v>1154</v>
      </c>
      <c r="B9" s="107" t="s">
        <v>1153</v>
      </c>
      <c r="C9" s="107" t="s">
        <v>1152</v>
      </c>
      <c r="D9" s="107" t="s">
        <v>1151</v>
      </c>
      <c r="E9" s="107" t="s">
        <v>1239</v>
      </c>
      <c r="F9" s="107" t="s">
        <v>1240</v>
      </c>
    </row>
    <row r="10" spans="1:6" ht="23" customHeight="1">
      <c r="A10" s="121">
        <v>1</v>
      </c>
      <c r="B10" s="120" t="s">
        <v>1242</v>
      </c>
      <c r="C10" s="119" t="s">
        <v>1191</v>
      </c>
      <c r="D10" s="107">
        <v>1E-3</v>
      </c>
      <c r="E10" s="107">
        <v>468.33</v>
      </c>
      <c r="F10" s="107">
        <f t="shared" ref="F10:F22" si="0">E10*D10</f>
        <v>0.46832999999999997</v>
      </c>
    </row>
    <row r="11" spans="1:6" ht="11" customHeight="1">
      <c r="A11" s="121">
        <v>2</v>
      </c>
      <c r="B11" s="120" t="s">
        <v>1144</v>
      </c>
      <c r="C11" s="119" t="s">
        <v>1140</v>
      </c>
      <c r="D11" s="107" t="s">
        <v>1142</v>
      </c>
      <c r="E11" s="107">
        <v>1.4</v>
      </c>
      <c r="F11" s="107">
        <f t="shared" si="0"/>
        <v>1.4</v>
      </c>
    </row>
    <row r="12" spans="1:6" ht="11" customHeight="1">
      <c r="A12" s="121">
        <v>3</v>
      </c>
      <c r="B12" s="120" t="s">
        <v>1211</v>
      </c>
      <c r="C12" s="119" t="s">
        <v>1140</v>
      </c>
      <c r="D12" s="107">
        <v>6</v>
      </c>
      <c r="E12" s="107">
        <v>15.27</v>
      </c>
      <c r="F12" s="107">
        <f t="shared" si="0"/>
        <v>91.62</v>
      </c>
    </row>
    <row r="13" spans="1:6" ht="11" customHeight="1">
      <c r="A13" s="121">
        <v>4</v>
      </c>
      <c r="B13" s="120" t="s">
        <v>1251</v>
      </c>
      <c r="C13" s="119" t="s">
        <v>1140</v>
      </c>
      <c r="D13" s="107" t="s">
        <v>1115</v>
      </c>
      <c r="E13" s="107">
        <v>0.24</v>
      </c>
      <c r="F13" s="107">
        <f t="shared" si="0"/>
        <v>0.48</v>
      </c>
    </row>
    <row r="14" spans="1:6" ht="11" customHeight="1">
      <c r="A14" s="121">
        <v>5</v>
      </c>
      <c r="B14" s="120" t="s">
        <v>1256</v>
      </c>
      <c r="C14" s="119" t="s">
        <v>1140</v>
      </c>
      <c r="D14" s="107" t="s">
        <v>1210</v>
      </c>
      <c r="E14" s="107">
        <v>0.52</v>
      </c>
      <c r="F14" s="107">
        <f t="shared" si="0"/>
        <v>6.24</v>
      </c>
    </row>
    <row r="15" spans="1:6" ht="11" customHeight="1">
      <c r="A15" s="121">
        <v>6</v>
      </c>
      <c r="B15" s="120" t="s">
        <v>1184</v>
      </c>
      <c r="C15" s="119" t="s">
        <v>1140</v>
      </c>
      <c r="D15" s="107" t="s">
        <v>1142</v>
      </c>
      <c r="E15" s="107"/>
      <c r="F15" s="107">
        <f t="shared" si="0"/>
        <v>0</v>
      </c>
    </row>
    <row r="16" spans="1:6" ht="11" customHeight="1">
      <c r="A16" s="121">
        <v>7</v>
      </c>
      <c r="B16" s="120" t="s">
        <v>1209</v>
      </c>
      <c r="C16" s="119" t="s">
        <v>1140</v>
      </c>
      <c r="D16" s="107" t="s">
        <v>1142</v>
      </c>
      <c r="E16" s="107">
        <v>36.299999999999997</v>
      </c>
      <c r="F16" s="107">
        <f t="shared" si="0"/>
        <v>36.299999999999997</v>
      </c>
    </row>
    <row r="17" spans="1:6" ht="11" customHeight="1">
      <c r="A17" s="121">
        <v>8</v>
      </c>
      <c r="B17" s="120" t="s">
        <v>1201</v>
      </c>
      <c r="C17" s="119" t="s">
        <v>1140</v>
      </c>
      <c r="D17" s="107" t="s">
        <v>1115</v>
      </c>
      <c r="E17" s="107">
        <v>2.98</v>
      </c>
      <c r="F17" s="107">
        <f t="shared" si="0"/>
        <v>5.96</v>
      </c>
    </row>
    <row r="18" spans="1:6" ht="11" customHeight="1">
      <c r="A18" s="121">
        <v>9</v>
      </c>
      <c r="B18" s="120" t="s">
        <v>1257</v>
      </c>
      <c r="C18" s="119" t="s">
        <v>1140</v>
      </c>
      <c r="D18" s="107" t="s">
        <v>1108</v>
      </c>
      <c r="E18" s="107">
        <v>0.24</v>
      </c>
      <c r="F18" s="107">
        <f t="shared" si="0"/>
        <v>0.96</v>
      </c>
    </row>
    <row r="19" spans="1:6" ht="11" customHeight="1">
      <c r="A19" s="121">
        <v>10</v>
      </c>
      <c r="B19" s="120" t="s">
        <v>1207</v>
      </c>
      <c r="C19" s="119" t="s">
        <v>1140</v>
      </c>
      <c r="D19" s="107">
        <v>60</v>
      </c>
      <c r="E19" s="107">
        <v>2</v>
      </c>
      <c r="F19" s="107">
        <f t="shared" si="0"/>
        <v>120</v>
      </c>
    </row>
    <row r="20" spans="1:6" ht="11" customHeight="1">
      <c r="A20" s="121">
        <v>11</v>
      </c>
      <c r="B20" s="120" t="s">
        <v>1135</v>
      </c>
      <c r="C20" s="119" t="s">
        <v>1120</v>
      </c>
      <c r="D20" s="107">
        <v>0.13700000000000001</v>
      </c>
      <c r="E20" s="107">
        <v>205.52</v>
      </c>
      <c r="F20" s="107">
        <f t="shared" si="0"/>
        <v>28.156240000000004</v>
      </c>
    </row>
    <row r="21" spans="1:6" ht="11" customHeight="1">
      <c r="A21" s="121">
        <v>12</v>
      </c>
      <c r="B21" s="120" t="s">
        <v>1258</v>
      </c>
      <c r="C21" s="119" t="s">
        <v>1120</v>
      </c>
      <c r="D21" s="107">
        <v>2.1989999999999998</v>
      </c>
      <c r="E21" s="107">
        <v>60.38</v>
      </c>
      <c r="F21" s="107">
        <f t="shared" si="0"/>
        <v>132.77562</v>
      </c>
    </row>
    <row r="22" spans="1:6" ht="11" customHeight="1">
      <c r="A22" s="121">
        <v>13</v>
      </c>
      <c r="B22" s="120" t="s">
        <v>1121</v>
      </c>
      <c r="C22" s="119" t="s">
        <v>1120</v>
      </c>
      <c r="D22" s="107">
        <v>6.0000000000000001E-3</v>
      </c>
      <c r="E22" s="107">
        <v>290</v>
      </c>
      <c r="F22" s="107">
        <f t="shared" si="0"/>
        <v>1.74</v>
      </c>
    </row>
    <row r="23" spans="1:6" ht="24.75" customHeight="1">
      <c r="A23" s="118"/>
      <c r="B23" s="105" t="s">
        <v>1118</v>
      </c>
      <c r="C23" s="105"/>
      <c r="D23" s="105"/>
      <c r="E23" s="105"/>
      <c r="F23" s="103">
        <f>SUM(F10:F22)</f>
        <v>426.10019000000005</v>
      </c>
    </row>
    <row r="24" spans="1:6" ht="16.5" customHeight="1">
      <c r="A24" s="117"/>
      <c r="B24" s="104" t="s">
        <v>1117</v>
      </c>
      <c r="C24" s="104"/>
      <c r="D24" s="104"/>
      <c r="E24" s="108">
        <v>0.01</v>
      </c>
      <c r="F24" s="107">
        <f>F23*E24</f>
        <v>4.261001900000001</v>
      </c>
    </row>
    <row r="25" spans="1:6" ht="17.25" customHeight="1">
      <c r="A25" s="115"/>
      <c r="B25" s="105" t="s">
        <v>1116</v>
      </c>
      <c r="C25" s="105"/>
      <c r="D25" s="105"/>
      <c r="E25" s="105"/>
      <c r="F25" s="103">
        <f>SUM(F23,F24)</f>
        <v>430.36119190000005</v>
      </c>
    </row>
    <row r="26" spans="1:6" ht="14.25" customHeight="1">
      <c r="A26" s="104" t="s">
        <v>1115</v>
      </c>
      <c r="B26" s="104" t="s">
        <v>1114</v>
      </c>
      <c r="C26" s="104"/>
      <c r="D26" s="104"/>
      <c r="E26" s="108">
        <v>0.11</v>
      </c>
      <c r="F26" s="142">
        <f>F25*E26</f>
        <v>47.339731109000006</v>
      </c>
    </row>
    <row r="27" spans="1:6" ht="13.5" customHeight="1">
      <c r="A27" s="104"/>
      <c r="B27" s="109" t="s">
        <v>1113</v>
      </c>
      <c r="C27" s="104"/>
      <c r="D27" s="104"/>
      <c r="E27" s="108">
        <v>0.14000000000000001</v>
      </c>
      <c r="F27" s="134">
        <f>F25*E27</f>
        <v>60.250566866000014</v>
      </c>
    </row>
    <row r="28" spans="1:6" ht="24" customHeight="1">
      <c r="A28" s="104"/>
      <c r="B28" s="109" t="s">
        <v>1112</v>
      </c>
      <c r="C28" s="104"/>
      <c r="D28" s="104"/>
      <c r="E28" s="111">
        <v>0.309</v>
      </c>
      <c r="F28" s="134">
        <f>(F26+F27)*E28</f>
        <v>33.245402074275006</v>
      </c>
    </row>
    <row r="29" spans="1:6" ht="19.5" customHeight="1">
      <c r="A29" s="104"/>
      <c r="B29" s="109" t="s">
        <v>1111</v>
      </c>
      <c r="C29" s="104"/>
      <c r="D29" s="104"/>
      <c r="E29" s="107">
        <v>0</v>
      </c>
      <c r="F29" s="134">
        <v>0</v>
      </c>
    </row>
    <row r="30" spans="1:6" ht="18" customHeight="1">
      <c r="A30" s="104" t="s">
        <v>1110</v>
      </c>
      <c r="B30" s="109" t="s">
        <v>1109</v>
      </c>
      <c r="C30" s="104"/>
      <c r="D30" s="104"/>
      <c r="E30" s="108">
        <v>1.5</v>
      </c>
      <c r="F30" s="134">
        <f>F26*E30</f>
        <v>71.009596663500005</v>
      </c>
    </row>
    <row r="31" spans="1:6" ht="16.5" customHeight="1">
      <c r="A31" s="104" t="s">
        <v>1108</v>
      </c>
      <c r="B31" s="104" t="s">
        <v>1107</v>
      </c>
      <c r="C31" s="104"/>
      <c r="D31" s="104"/>
      <c r="E31" s="107"/>
      <c r="F31" s="134">
        <f>F25+F26+F27+F28+F29+F30</f>
        <v>642.20648861277516</v>
      </c>
    </row>
    <row r="32" spans="1:6" ht="15" customHeight="1">
      <c r="A32" s="104" t="s">
        <v>1106</v>
      </c>
      <c r="B32" s="104" t="s">
        <v>1105</v>
      </c>
      <c r="C32" s="104"/>
      <c r="D32" s="104"/>
      <c r="E32" s="108">
        <v>1</v>
      </c>
      <c r="F32" s="142">
        <f>F26*E32</f>
        <v>47.339731109000006</v>
      </c>
    </row>
    <row r="33" spans="1:6" ht="15" customHeight="1">
      <c r="A33" s="104"/>
      <c r="B33" s="104"/>
      <c r="C33" s="104"/>
      <c r="D33" s="104"/>
      <c r="E33" s="108">
        <v>0.8</v>
      </c>
      <c r="F33" s="121">
        <f>F26*E33</f>
        <v>37.871784887200008</v>
      </c>
    </row>
    <row r="34" spans="1:6" ht="15" customHeight="1">
      <c r="A34" s="104" t="s">
        <v>1104</v>
      </c>
      <c r="B34" s="104" t="s">
        <v>1103</v>
      </c>
      <c r="C34" s="104"/>
      <c r="D34" s="104"/>
      <c r="E34" s="107"/>
      <c r="F34" s="134">
        <f>F31+F32</f>
        <v>689.54621972177517</v>
      </c>
    </row>
    <row r="35" spans="1:6" ht="21.75" customHeight="1">
      <c r="A35" s="104"/>
      <c r="B35" s="104"/>
      <c r="C35" s="104"/>
      <c r="D35" s="104"/>
      <c r="E35" s="107"/>
      <c r="F35" s="134">
        <f>F31+F33</f>
        <v>680.07827349997513</v>
      </c>
    </row>
    <row r="36" spans="1:6" ht="15.75" customHeight="1">
      <c r="A36" s="104" t="s">
        <v>1102</v>
      </c>
      <c r="B36" s="104" t="s">
        <v>83</v>
      </c>
      <c r="C36" s="104"/>
      <c r="D36" s="104"/>
      <c r="E36" s="108">
        <v>0.4</v>
      </c>
      <c r="F36" s="134">
        <f>F34*E36</f>
        <v>275.81848788871008</v>
      </c>
    </row>
    <row r="37" spans="1:6" ht="16.5" customHeight="1">
      <c r="A37" s="104"/>
      <c r="B37" s="104"/>
      <c r="C37" s="104"/>
      <c r="D37" s="104"/>
      <c r="E37" s="108">
        <v>7.0000000000000007E-2</v>
      </c>
      <c r="F37" s="134">
        <f>F35*E37</f>
        <v>47.605479144998263</v>
      </c>
    </row>
    <row r="38" spans="1:6" ht="14.25" customHeight="1">
      <c r="A38" s="104" t="s">
        <v>1101</v>
      </c>
      <c r="B38" s="104" t="s">
        <v>1100</v>
      </c>
      <c r="C38" s="104"/>
      <c r="D38" s="104"/>
      <c r="E38" s="107"/>
      <c r="F38" s="134">
        <v>30.41</v>
      </c>
    </row>
    <row r="39" spans="1:6" ht="15.75" customHeight="1">
      <c r="A39" s="104"/>
      <c r="B39" s="104" t="s">
        <v>1099</v>
      </c>
      <c r="C39" s="104"/>
      <c r="D39" s="104"/>
      <c r="E39" s="107"/>
      <c r="F39" s="134">
        <f>F34+F36+F38</f>
        <v>995.77470761048528</v>
      </c>
    </row>
    <row r="40" spans="1:6" ht="11" customHeight="1">
      <c r="A40" s="104"/>
      <c r="B40" s="104"/>
      <c r="C40" s="104"/>
      <c r="D40" s="104"/>
      <c r="E40" s="107"/>
      <c r="F40" s="134">
        <f>F35+F37+F38</f>
        <v>758.09375264497339</v>
      </c>
    </row>
    <row r="41" spans="1:6" ht="15" customHeight="1">
      <c r="A41" s="104"/>
      <c r="B41" s="104" t="s">
        <v>1098</v>
      </c>
      <c r="C41" s="104"/>
      <c r="D41" s="104"/>
      <c r="E41" s="108">
        <v>0.22</v>
      </c>
      <c r="F41" s="134">
        <f>F39*E41</f>
        <v>219.07043567430676</v>
      </c>
    </row>
    <row r="42" spans="1:6" ht="12.75" customHeight="1">
      <c r="A42" s="104"/>
      <c r="B42" s="104"/>
      <c r="C42" s="104"/>
      <c r="D42" s="104"/>
      <c r="E42" s="108">
        <v>0.22</v>
      </c>
      <c r="F42" s="134">
        <f>F40*E42</f>
        <v>166.78062558189416</v>
      </c>
    </row>
    <row r="43" spans="1:6" ht="13.5" customHeight="1">
      <c r="A43" s="104"/>
      <c r="B43" s="105" t="s">
        <v>1097</v>
      </c>
      <c r="C43" s="104"/>
      <c r="D43" s="104"/>
      <c r="E43" s="103" t="s">
        <v>1096</v>
      </c>
      <c r="F43" s="132">
        <f>F39+F41</f>
        <v>1214.8451432847921</v>
      </c>
    </row>
    <row r="44" spans="1:6" ht="14.25" customHeight="1">
      <c r="A44" s="104"/>
      <c r="B44" s="104"/>
      <c r="C44" s="104"/>
      <c r="D44" s="104"/>
      <c r="E44" s="103" t="s">
        <v>1095</v>
      </c>
      <c r="F44" s="132">
        <f>F40+F42</f>
        <v>924.87437822686752</v>
      </c>
    </row>
    <row r="45" spans="1:6" ht="11" customHeight="1"/>
    <row r="46" spans="1:6" ht="11" customHeight="1"/>
    <row r="47" spans="1:6" ht="11" customHeight="1">
      <c r="B47" s="101" t="s">
        <v>1094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pageOrder="overThenDown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  <pageSetUpPr autoPageBreaks="0"/>
  </sheetPr>
  <dimension ref="A1:F49"/>
  <sheetViews>
    <sheetView workbookViewId="0">
      <selection activeCell="AA50" sqref="AA50"/>
    </sheetView>
  </sheetViews>
  <sheetFormatPr baseColWidth="10" defaultColWidth="9" defaultRowHeight="11.5" customHeight="1"/>
  <cols>
    <col min="1" max="1" width="5.5" style="101" customWidth="1"/>
    <col min="2" max="2" width="42.1640625" style="101" customWidth="1"/>
    <col min="3" max="3" width="12.5" style="101" customWidth="1"/>
    <col min="4" max="4" width="8.5" style="101" customWidth="1"/>
    <col min="5" max="5" width="9.5" style="101" customWidth="1"/>
    <col min="6" max="6" width="14.1640625" style="101" customWidth="1"/>
    <col min="7" max="8" width="9" style="100"/>
    <col min="9" max="9" width="9" style="100" customWidth="1"/>
    <col min="10" max="16384" width="9" style="100"/>
  </cols>
  <sheetData>
    <row r="1" spans="1:6" ht="11" customHeight="1">
      <c r="F1" s="126" t="s">
        <v>1161</v>
      </c>
    </row>
    <row r="2" spans="1:6" ht="11" customHeight="1">
      <c r="F2" s="126" t="s">
        <v>1160</v>
      </c>
    </row>
    <row r="3" spans="1:6" ht="11" customHeight="1">
      <c r="F3" s="126" t="s">
        <v>1159</v>
      </c>
    </row>
    <row r="4" spans="1:6" ht="11" customHeight="1">
      <c r="F4" s="126" t="s">
        <v>1158</v>
      </c>
    </row>
    <row r="5" spans="1:6" ht="16" customHeight="1">
      <c r="A5" s="125" t="s">
        <v>1157</v>
      </c>
      <c r="F5" s="124" t="s">
        <v>1156</v>
      </c>
    </row>
    <row r="6" spans="1:6" ht="11" customHeight="1"/>
    <row r="7" spans="1:6" ht="13" customHeight="1">
      <c r="A7" s="358" t="s">
        <v>98</v>
      </c>
      <c r="B7" s="358"/>
      <c r="C7" s="358"/>
      <c r="D7" s="358"/>
      <c r="E7" s="358"/>
      <c r="F7" s="358"/>
    </row>
    <row r="8" spans="1:6" s="123" customFormat="1" ht="3" customHeight="1"/>
    <row r="9" spans="1:6" ht="11" customHeight="1">
      <c r="A9" s="107" t="s">
        <v>1154</v>
      </c>
      <c r="B9" s="107" t="s">
        <v>1153</v>
      </c>
      <c r="C9" s="107" t="s">
        <v>1152</v>
      </c>
      <c r="D9" s="107" t="s">
        <v>1151</v>
      </c>
      <c r="E9" s="107" t="s">
        <v>1239</v>
      </c>
      <c r="F9" s="107" t="s">
        <v>1240</v>
      </c>
    </row>
    <row r="10" spans="1:6" ht="23" customHeight="1">
      <c r="A10" s="121">
        <v>1</v>
      </c>
      <c r="B10" s="120" t="s">
        <v>1242</v>
      </c>
      <c r="C10" s="119" t="s">
        <v>1191</v>
      </c>
      <c r="D10" s="107">
        <v>1E-3</v>
      </c>
      <c r="E10" s="107">
        <v>468.33</v>
      </c>
      <c r="F10" s="107">
        <f>E10*D10</f>
        <v>0.46832999999999997</v>
      </c>
    </row>
    <row r="11" spans="1:6" ht="11" customHeight="1">
      <c r="A11" s="121">
        <v>2</v>
      </c>
      <c r="B11" s="120" t="s">
        <v>1144</v>
      </c>
      <c r="C11" s="119" t="s">
        <v>1140</v>
      </c>
      <c r="D11" s="107" t="s">
        <v>1142</v>
      </c>
      <c r="E11" s="107">
        <v>1.4</v>
      </c>
      <c r="F11" s="107">
        <f>E11*D11</f>
        <v>1.4</v>
      </c>
    </row>
    <row r="12" spans="1:6" ht="11" customHeight="1">
      <c r="A12" s="121">
        <v>3</v>
      </c>
      <c r="B12" s="120" t="s">
        <v>1260</v>
      </c>
      <c r="C12" s="119" t="s">
        <v>1140</v>
      </c>
      <c r="D12" s="107" t="s">
        <v>1101</v>
      </c>
      <c r="E12" s="107">
        <v>0.64</v>
      </c>
      <c r="F12" s="107">
        <f>D12*E12</f>
        <v>5.12</v>
      </c>
    </row>
    <row r="13" spans="1:6" ht="11" customHeight="1">
      <c r="A13" s="121">
        <v>4</v>
      </c>
      <c r="B13" s="120" t="s">
        <v>1211</v>
      </c>
      <c r="C13" s="119" t="s">
        <v>1140</v>
      </c>
      <c r="D13" s="107">
        <v>15</v>
      </c>
      <c r="E13" s="107">
        <v>15.27</v>
      </c>
      <c r="F13" s="107">
        <f t="shared" ref="F13:F22" si="0">E13*D13</f>
        <v>229.04999999999998</v>
      </c>
    </row>
    <row r="14" spans="1:6" ht="11" customHeight="1">
      <c r="A14" s="121">
        <v>5</v>
      </c>
      <c r="B14" s="120" t="s">
        <v>1251</v>
      </c>
      <c r="C14" s="119" t="s">
        <v>1140</v>
      </c>
      <c r="D14" s="107" t="s">
        <v>1115</v>
      </c>
      <c r="E14" s="107">
        <v>0.24</v>
      </c>
      <c r="F14" s="107">
        <f t="shared" si="0"/>
        <v>0.48</v>
      </c>
    </row>
    <row r="15" spans="1:6" ht="11" customHeight="1">
      <c r="A15" s="121">
        <v>6</v>
      </c>
      <c r="B15" s="120" t="s">
        <v>1256</v>
      </c>
      <c r="C15" s="119" t="s">
        <v>1140</v>
      </c>
      <c r="D15" s="107">
        <v>16</v>
      </c>
      <c r="E15" s="107">
        <v>0.52</v>
      </c>
      <c r="F15" s="107">
        <f t="shared" si="0"/>
        <v>8.32</v>
      </c>
    </row>
    <row r="16" spans="1:6" ht="11" customHeight="1">
      <c r="A16" s="121">
        <v>7</v>
      </c>
      <c r="B16" s="120" t="s">
        <v>1184</v>
      </c>
      <c r="C16" s="119" t="s">
        <v>1140</v>
      </c>
      <c r="D16" s="107" t="s">
        <v>1142</v>
      </c>
      <c r="E16" s="107"/>
      <c r="F16" s="107">
        <f t="shared" si="0"/>
        <v>0</v>
      </c>
    </row>
    <row r="17" spans="1:6" ht="11" customHeight="1">
      <c r="A17" s="121">
        <v>8</v>
      </c>
      <c r="B17" s="120" t="s">
        <v>1209</v>
      </c>
      <c r="C17" s="119" t="s">
        <v>1140</v>
      </c>
      <c r="D17" s="107" t="s">
        <v>1142</v>
      </c>
      <c r="E17" s="107">
        <v>36.299999999999997</v>
      </c>
      <c r="F17" s="107">
        <f t="shared" si="0"/>
        <v>36.299999999999997</v>
      </c>
    </row>
    <row r="18" spans="1:6" ht="11" customHeight="1">
      <c r="A18" s="121">
        <v>9</v>
      </c>
      <c r="B18" s="120" t="s">
        <v>1201</v>
      </c>
      <c r="C18" s="119" t="s">
        <v>1140</v>
      </c>
      <c r="D18" s="107" t="s">
        <v>1115</v>
      </c>
      <c r="E18" s="107">
        <v>2.98</v>
      </c>
      <c r="F18" s="107">
        <f t="shared" si="0"/>
        <v>5.96</v>
      </c>
    </row>
    <row r="19" spans="1:6" ht="11" customHeight="1">
      <c r="A19" s="121">
        <v>10</v>
      </c>
      <c r="B19" s="120" t="s">
        <v>1257</v>
      </c>
      <c r="C19" s="119" t="s">
        <v>1140</v>
      </c>
      <c r="D19" s="107" t="s">
        <v>1108</v>
      </c>
      <c r="E19" s="107">
        <v>0.24</v>
      </c>
      <c r="F19" s="107">
        <f t="shared" si="0"/>
        <v>0.96</v>
      </c>
    </row>
    <row r="20" spans="1:6" ht="11" customHeight="1">
      <c r="A20" s="121">
        <v>11</v>
      </c>
      <c r="B20" s="120" t="s">
        <v>1207</v>
      </c>
      <c r="C20" s="119" t="s">
        <v>1140</v>
      </c>
      <c r="D20" s="107">
        <v>148</v>
      </c>
      <c r="E20" s="107">
        <v>2</v>
      </c>
      <c r="F20" s="107">
        <f t="shared" si="0"/>
        <v>296</v>
      </c>
    </row>
    <row r="21" spans="1:6" ht="11" customHeight="1">
      <c r="A21" s="121">
        <v>12</v>
      </c>
      <c r="B21" s="120" t="s">
        <v>1135</v>
      </c>
      <c r="C21" s="119" t="s">
        <v>1120</v>
      </c>
      <c r="D21" s="107">
        <v>0.16400000000000001</v>
      </c>
      <c r="E21" s="107">
        <v>205.52</v>
      </c>
      <c r="F21" s="107">
        <f t="shared" si="0"/>
        <v>33.705280000000002</v>
      </c>
    </row>
    <row r="22" spans="1:6" ht="11" customHeight="1">
      <c r="A22" s="121">
        <v>13</v>
      </c>
      <c r="B22" s="120" t="s">
        <v>1258</v>
      </c>
      <c r="C22" s="119" t="s">
        <v>1120</v>
      </c>
      <c r="D22" s="107">
        <v>2.605</v>
      </c>
      <c r="E22" s="107">
        <v>60.83</v>
      </c>
      <c r="F22" s="107">
        <f t="shared" si="0"/>
        <v>158.46215000000001</v>
      </c>
    </row>
    <row r="23" spans="1:6" ht="11" customHeight="1">
      <c r="A23" s="121">
        <v>14</v>
      </c>
      <c r="B23" s="120" t="s">
        <v>1254</v>
      </c>
      <c r="C23" s="119" t="s">
        <v>1120</v>
      </c>
      <c r="D23" s="107">
        <v>2.8000000000000001E-2</v>
      </c>
      <c r="E23" s="107">
        <v>64.17</v>
      </c>
      <c r="F23" s="107">
        <f>D23*E23</f>
        <v>1.7967600000000001</v>
      </c>
    </row>
    <row r="24" spans="1:6" ht="11" customHeight="1">
      <c r="A24" s="121">
        <v>15</v>
      </c>
      <c r="B24" s="120" t="s">
        <v>1121</v>
      </c>
      <c r="C24" s="119" t="s">
        <v>1120</v>
      </c>
      <c r="D24" s="107">
        <v>7.0000000000000001E-3</v>
      </c>
      <c r="E24" s="107">
        <v>290</v>
      </c>
      <c r="F24" s="107">
        <f>E24*D24</f>
        <v>2.0300000000000002</v>
      </c>
    </row>
    <row r="25" spans="1:6" ht="24.75" customHeight="1">
      <c r="A25" s="118"/>
      <c r="B25" s="105" t="s">
        <v>1118</v>
      </c>
      <c r="C25" s="105"/>
      <c r="D25" s="105"/>
      <c r="E25" s="105"/>
      <c r="F25" s="103">
        <f>SUM(F10:F24)</f>
        <v>780.05251999999973</v>
      </c>
    </row>
    <row r="26" spans="1:6" ht="16.5" customHeight="1">
      <c r="A26" s="117"/>
      <c r="B26" s="104" t="s">
        <v>1117</v>
      </c>
      <c r="C26" s="104"/>
      <c r="D26" s="104"/>
      <c r="E26" s="108">
        <v>0.01</v>
      </c>
      <c r="F26" s="107">
        <f>F25*E26</f>
        <v>7.8005251999999974</v>
      </c>
    </row>
    <row r="27" spans="1:6" ht="17.25" customHeight="1">
      <c r="A27" s="115"/>
      <c r="B27" s="105" t="s">
        <v>1116</v>
      </c>
      <c r="C27" s="105"/>
      <c r="D27" s="105"/>
      <c r="E27" s="105"/>
      <c r="F27" s="103">
        <f>SUM(F25,F26)</f>
        <v>787.85304519999977</v>
      </c>
    </row>
    <row r="28" spans="1:6" ht="14.25" customHeight="1">
      <c r="A28" s="104" t="s">
        <v>1115</v>
      </c>
      <c r="B28" s="104" t="s">
        <v>1114</v>
      </c>
      <c r="C28" s="104"/>
      <c r="D28" s="104"/>
      <c r="E28" s="108">
        <v>0.11</v>
      </c>
      <c r="F28" s="142">
        <f>F27*E28</f>
        <v>86.663834971999975</v>
      </c>
    </row>
    <row r="29" spans="1:6" ht="13.5" customHeight="1">
      <c r="A29" s="104"/>
      <c r="B29" s="109" t="s">
        <v>1113</v>
      </c>
      <c r="C29" s="104"/>
      <c r="D29" s="104"/>
      <c r="E29" s="108">
        <v>0.14000000000000001</v>
      </c>
      <c r="F29" s="134">
        <f>F27*E29</f>
        <v>110.29942632799998</v>
      </c>
    </row>
    <row r="30" spans="1:6" ht="24" customHeight="1">
      <c r="A30" s="104"/>
      <c r="B30" s="109" t="s">
        <v>1112</v>
      </c>
      <c r="C30" s="104"/>
      <c r="D30" s="104"/>
      <c r="E30" s="111">
        <v>0.309</v>
      </c>
      <c r="F30" s="134">
        <f>(F28+F29)*E30</f>
        <v>60.861647741699983</v>
      </c>
    </row>
    <row r="31" spans="1:6" ht="19.5" customHeight="1">
      <c r="A31" s="104"/>
      <c r="B31" s="109" t="s">
        <v>1111</v>
      </c>
      <c r="C31" s="104"/>
      <c r="D31" s="104"/>
      <c r="E31" s="107">
        <v>0</v>
      </c>
      <c r="F31" s="134">
        <v>0</v>
      </c>
    </row>
    <row r="32" spans="1:6" ht="18" customHeight="1">
      <c r="A32" s="104" t="s">
        <v>1110</v>
      </c>
      <c r="B32" s="109" t="s">
        <v>1109</v>
      </c>
      <c r="C32" s="104"/>
      <c r="D32" s="104"/>
      <c r="E32" s="108">
        <v>1.5</v>
      </c>
      <c r="F32" s="134">
        <f>F28*E32</f>
        <v>129.99575245799997</v>
      </c>
    </row>
    <row r="33" spans="1:6" ht="16.5" customHeight="1">
      <c r="A33" s="104" t="s">
        <v>1108</v>
      </c>
      <c r="B33" s="104" t="s">
        <v>1107</v>
      </c>
      <c r="C33" s="104"/>
      <c r="D33" s="104"/>
      <c r="E33" s="107"/>
      <c r="F33" s="134">
        <f>F27+F28+F29+F30+F31+F32</f>
        <v>1175.6737066996998</v>
      </c>
    </row>
    <row r="34" spans="1:6" ht="15" customHeight="1">
      <c r="A34" s="104" t="s">
        <v>1106</v>
      </c>
      <c r="B34" s="104" t="s">
        <v>1105</v>
      </c>
      <c r="C34" s="104"/>
      <c r="D34" s="104"/>
      <c r="E34" s="108">
        <v>1</v>
      </c>
      <c r="F34" s="142">
        <f>F28*E34</f>
        <v>86.663834971999975</v>
      </c>
    </row>
    <row r="35" spans="1:6" ht="15" customHeight="1">
      <c r="A35" s="104"/>
      <c r="B35" s="104"/>
      <c r="C35" s="104"/>
      <c r="D35" s="104"/>
      <c r="E35" s="108">
        <v>0.8</v>
      </c>
      <c r="F35" s="121">
        <f>F28*E35</f>
        <v>69.331067977599986</v>
      </c>
    </row>
    <row r="36" spans="1:6" ht="15" customHeight="1">
      <c r="A36" s="104" t="s">
        <v>1104</v>
      </c>
      <c r="B36" s="104" t="s">
        <v>1103</v>
      </c>
      <c r="C36" s="104"/>
      <c r="D36" s="104"/>
      <c r="E36" s="107"/>
      <c r="F36" s="134">
        <f>F33+F34</f>
        <v>1262.3375416716997</v>
      </c>
    </row>
    <row r="37" spans="1:6" ht="21.75" customHeight="1">
      <c r="A37" s="104"/>
      <c r="B37" s="104"/>
      <c r="C37" s="104"/>
      <c r="D37" s="104"/>
      <c r="E37" s="107"/>
      <c r="F37" s="134">
        <f>F33+F35</f>
        <v>1245.0047746772998</v>
      </c>
    </row>
    <row r="38" spans="1:6" ht="15.75" customHeight="1">
      <c r="A38" s="104" t="s">
        <v>1102</v>
      </c>
      <c r="B38" s="104" t="s">
        <v>83</v>
      </c>
      <c r="C38" s="104"/>
      <c r="D38" s="104"/>
      <c r="E38" s="108">
        <v>0.4</v>
      </c>
      <c r="F38" s="134">
        <f>F36*E38</f>
        <v>504.93501666867991</v>
      </c>
    </row>
    <row r="39" spans="1:6" ht="16.5" customHeight="1">
      <c r="A39" s="104"/>
      <c r="B39" s="104"/>
      <c r="C39" s="104"/>
      <c r="D39" s="104"/>
      <c r="E39" s="108">
        <v>7.0000000000000007E-2</v>
      </c>
      <c r="F39" s="134">
        <f>F37*E39</f>
        <v>87.150334227410994</v>
      </c>
    </row>
    <row r="40" spans="1:6" ht="14.25" customHeight="1">
      <c r="A40" s="104" t="s">
        <v>1101</v>
      </c>
      <c r="B40" s="104" t="s">
        <v>1100</v>
      </c>
      <c r="C40" s="104"/>
      <c r="D40" s="104"/>
      <c r="E40" s="107"/>
      <c r="F40" s="134">
        <v>31.63</v>
      </c>
    </row>
    <row r="41" spans="1:6" ht="15.75" customHeight="1">
      <c r="A41" s="104"/>
      <c r="B41" s="104" t="s">
        <v>1099</v>
      </c>
      <c r="C41" s="104"/>
      <c r="D41" s="104"/>
      <c r="E41" s="107"/>
      <c r="F41" s="134">
        <f>F36+F38+F40</f>
        <v>1798.9025583403798</v>
      </c>
    </row>
    <row r="42" spans="1:6" ht="11" customHeight="1">
      <c r="A42" s="104"/>
      <c r="B42" s="104"/>
      <c r="C42" s="104"/>
      <c r="D42" s="104"/>
      <c r="E42" s="107"/>
      <c r="F42" s="134">
        <f>F37+F39+F40</f>
        <v>1363.7851089047108</v>
      </c>
    </row>
    <row r="43" spans="1:6" ht="15" customHeight="1">
      <c r="A43" s="104"/>
      <c r="B43" s="104" t="s">
        <v>1098</v>
      </c>
      <c r="C43" s="104"/>
      <c r="D43" s="104"/>
      <c r="E43" s="108">
        <v>0.22</v>
      </c>
      <c r="F43" s="134">
        <f>F41*E43</f>
        <v>395.75856283488355</v>
      </c>
    </row>
    <row r="44" spans="1:6" ht="12.75" customHeight="1">
      <c r="A44" s="104"/>
      <c r="B44" s="104"/>
      <c r="C44" s="104"/>
      <c r="D44" s="104"/>
      <c r="E44" s="108">
        <v>0.22</v>
      </c>
      <c r="F44" s="134">
        <f>F42*E44</f>
        <v>300.03272395903639</v>
      </c>
    </row>
    <row r="45" spans="1:6" ht="13.5" customHeight="1">
      <c r="A45" s="104"/>
      <c r="B45" s="105" t="s">
        <v>1097</v>
      </c>
      <c r="C45" s="104"/>
      <c r="D45" s="104"/>
      <c r="E45" s="103" t="s">
        <v>1096</v>
      </c>
      <c r="F45" s="132">
        <f>F41+F43</f>
        <v>2194.6611211752634</v>
      </c>
    </row>
    <row r="46" spans="1:6" ht="14.25" customHeight="1">
      <c r="A46" s="104"/>
      <c r="B46" s="104"/>
      <c r="C46" s="104"/>
      <c r="D46" s="104"/>
      <c r="E46" s="103" t="s">
        <v>1095</v>
      </c>
      <c r="F46" s="132">
        <f>F42+F44</f>
        <v>1663.8178328637473</v>
      </c>
    </row>
    <row r="47" spans="1:6" ht="11" customHeight="1"/>
    <row r="48" spans="1:6" ht="11" customHeight="1"/>
    <row r="49" spans="2:2" ht="11" customHeight="1">
      <c r="B49" s="101" t="s">
        <v>1094</v>
      </c>
    </row>
  </sheetData>
  <mergeCells count="1">
    <mergeCell ref="A7:F7"/>
  </mergeCells>
  <pageMargins left="0.39370078740157483" right="0.39370078740157483" top="0.39370078740157483" bottom="0.39370078740157483" header="0" footer="0"/>
  <pageSetup paperSize="9" pageOrder="overThenDown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7CB59-CBF0-2643-822A-B62DE7C73D8C}">
  <dimension ref="A1:H45"/>
  <sheetViews>
    <sheetView workbookViewId="0">
      <selection activeCell="I40" sqref="I40"/>
    </sheetView>
  </sheetViews>
  <sheetFormatPr baseColWidth="10" defaultColWidth="8.83203125" defaultRowHeight="15"/>
  <cols>
    <col min="1" max="1" width="3.5" style="241" bestFit="1" customWidth="1"/>
    <col min="2" max="2" width="51.5" style="277" customWidth="1"/>
    <col min="3" max="3" width="5.5" style="241" bestFit="1" customWidth="1"/>
    <col min="4" max="4" width="8.1640625" style="241" bestFit="1" customWidth="1"/>
    <col min="5" max="5" width="9" style="241" bestFit="1" customWidth="1"/>
    <col min="6" max="6" width="12.5" style="241" customWidth="1"/>
    <col min="7" max="7" width="7.6640625" style="240" customWidth="1"/>
    <col min="8" max="8" width="66.5" style="241" customWidth="1"/>
    <col min="9" max="256" width="8.83203125" style="241"/>
    <col min="257" max="257" width="3.5" style="241" bestFit="1" customWidth="1"/>
    <col min="258" max="258" width="38.5" style="241" customWidth="1"/>
    <col min="259" max="259" width="5.5" style="241" bestFit="1" customWidth="1"/>
    <col min="260" max="260" width="8.1640625" style="241" bestFit="1" customWidth="1"/>
    <col min="261" max="261" width="9" style="241" bestFit="1" customWidth="1"/>
    <col min="262" max="262" width="12.5" style="241" customWidth="1"/>
    <col min="263" max="512" width="8.83203125" style="241"/>
    <col min="513" max="513" width="3.5" style="241" bestFit="1" customWidth="1"/>
    <col min="514" max="514" width="38.5" style="241" customWidth="1"/>
    <col min="515" max="515" width="5.5" style="241" bestFit="1" customWidth="1"/>
    <col min="516" max="516" width="8.1640625" style="241" bestFit="1" customWidth="1"/>
    <col min="517" max="517" width="9" style="241" bestFit="1" customWidth="1"/>
    <col min="518" max="518" width="12.5" style="241" customWidth="1"/>
    <col min="519" max="768" width="8.83203125" style="241"/>
    <col min="769" max="769" width="3.5" style="241" bestFit="1" customWidth="1"/>
    <col min="770" max="770" width="38.5" style="241" customWidth="1"/>
    <col min="771" max="771" width="5.5" style="241" bestFit="1" customWidth="1"/>
    <col min="772" max="772" width="8.1640625" style="241" bestFit="1" customWidth="1"/>
    <col min="773" max="773" width="9" style="241" bestFit="1" customWidth="1"/>
    <col min="774" max="774" width="12.5" style="241" customWidth="1"/>
    <col min="775" max="1024" width="8.83203125" style="241"/>
    <col min="1025" max="1025" width="3.5" style="241" bestFit="1" customWidth="1"/>
    <col min="1026" max="1026" width="38.5" style="241" customWidth="1"/>
    <col min="1027" max="1027" width="5.5" style="241" bestFit="1" customWidth="1"/>
    <col min="1028" max="1028" width="8.1640625" style="241" bestFit="1" customWidth="1"/>
    <col min="1029" max="1029" width="9" style="241" bestFit="1" customWidth="1"/>
    <col min="1030" max="1030" width="12.5" style="241" customWidth="1"/>
    <col min="1031" max="1280" width="8.83203125" style="241"/>
    <col min="1281" max="1281" width="3.5" style="241" bestFit="1" customWidth="1"/>
    <col min="1282" max="1282" width="38.5" style="241" customWidth="1"/>
    <col min="1283" max="1283" width="5.5" style="241" bestFit="1" customWidth="1"/>
    <col min="1284" max="1284" width="8.1640625" style="241" bestFit="1" customWidth="1"/>
    <col min="1285" max="1285" width="9" style="241" bestFit="1" customWidth="1"/>
    <col min="1286" max="1286" width="12.5" style="241" customWidth="1"/>
    <col min="1287" max="1536" width="8.83203125" style="241"/>
    <col min="1537" max="1537" width="3.5" style="241" bestFit="1" customWidth="1"/>
    <col min="1538" max="1538" width="38.5" style="241" customWidth="1"/>
    <col min="1539" max="1539" width="5.5" style="241" bestFit="1" customWidth="1"/>
    <col min="1540" max="1540" width="8.1640625" style="241" bestFit="1" customWidth="1"/>
    <col min="1541" max="1541" width="9" style="241" bestFit="1" customWidth="1"/>
    <col min="1542" max="1542" width="12.5" style="241" customWidth="1"/>
    <col min="1543" max="1792" width="8.83203125" style="241"/>
    <col min="1793" max="1793" width="3.5" style="241" bestFit="1" customWidth="1"/>
    <col min="1794" max="1794" width="38.5" style="241" customWidth="1"/>
    <col min="1795" max="1795" width="5.5" style="241" bestFit="1" customWidth="1"/>
    <col min="1796" max="1796" width="8.1640625" style="241" bestFit="1" customWidth="1"/>
    <col min="1797" max="1797" width="9" style="241" bestFit="1" customWidth="1"/>
    <col min="1798" max="1798" width="12.5" style="241" customWidth="1"/>
    <col min="1799" max="2048" width="8.83203125" style="241"/>
    <col min="2049" max="2049" width="3.5" style="241" bestFit="1" customWidth="1"/>
    <col min="2050" max="2050" width="38.5" style="241" customWidth="1"/>
    <col min="2051" max="2051" width="5.5" style="241" bestFit="1" customWidth="1"/>
    <col min="2052" max="2052" width="8.1640625" style="241" bestFit="1" customWidth="1"/>
    <col min="2053" max="2053" width="9" style="241" bestFit="1" customWidth="1"/>
    <col min="2054" max="2054" width="12.5" style="241" customWidth="1"/>
    <col min="2055" max="2304" width="8.83203125" style="241"/>
    <col min="2305" max="2305" width="3.5" style="241" bestFit="1" customWidth="1"/>
    <col min="2306" max="2306" width="38.5" style="241" customWidth="1"/>
    <col min="2307" max="2307" width="5.5" style="241" bestFit="1" customWidth="1"/>
    <col min="2308" max="2308" width="8.1640625" style="241" bestFit="1" customWidth="1"/>
    <col min="2309" max="2309" width="9" style="241" bestFit="1" customWidth="1"/>
    <col min="2310" max="2310" width="12.5" style="241" customWidth="1"/>
    <col min="2311" max="2560" width="8.83203125" style="241"/>
    <col min="2561" max="2561" width="3.5" style="241" bestFit="1" customWidth="1"/>
    <col min="2562" max="2562" width="38.5" style="241" customWidth="1"/>
    <col min="2563" max="2563" width="5.5" style="241" bestFit="1" customWidth="1"/>
    <col min="2564" max="2564" width="8.1640625" style="241" bestFit="1" customWidth="1"/>
    <col min="2565" max="2565" width="9" style="241" bestFit="1" customWidth="1"/>
    <col min="2566" max="2566" width="12.5" style="241" customWidth="1"/>
    <col min="2567" max="2816" width="8.83203125" style="241"/>
    <col min="2817" max="2817" width="3.5" style="241" bestFit="1" customWidth="1"/>
    <col min="2818" max="2818" width="38.5" style="241" customWidth="1"/>
    <col min="2819" max="2819" width="5.5" style="241" bestFit="1" customWidth="1"/>
    <col min="2820" max="2820" width="8.1640625" style="241" bestFit="1" customWidth="1"/>
    <col min="2821" max="2821" width="9" style="241" bestFit="1" customWidth="1"/>
    <col min="2822" max="2822" width="12.5" style="241" customWidth="1"/>
    <col min="2823" max="3072" width="8.83203125" style="241"/>
    <col min="3073" max="3073" width="3.5" style="241" bestFit="1" customWidth="1"/>
    <col min="3074" max="3074" width="38.5" style="241" customWidth="1"/>
    <col min="3075" max="3075" width="5.5" style="241" bestFit="1" customWidth="1"/>
    <col min="3076" max="3076" width="8.1640625" style="241" bestFit="1" customWidth="1"/>
    <col min="3077" max="3077" width="9" style="241" bestFit="1" customWidth="1"/>
    <col min="3078" max="3078" width="12.5" style="241" customWidth="1"/>
    <col min="3079" max="3328" width="8.83203125" style="241"/>
    <col min="3329" max="3329" width="3.5" style="241" bestFit="1" customWidth="1"/>
    <col min="3330" max="3330" width="38.5" style="241" customWidth="1"/>
    <col min="3331" max="3331" width="5.5" style="241" bestFit="1" customWidth="1"/>
    <col min="3332" max="3332" width="8.1640625" style="241" bestFit="1" customWidth="1"/>
    <col min="3333" max="3333" width="9" style="241" bestFit="1" customWidth="1"/>
    <col min="3334" max="3334" width="12.5" style="241" customWidth="1"/>
    <col min="3335" max="3584" width="8.83203125" style="241"/>
    <col min="3585" max="3585" width="3.5" style="241" bestFit="1" customWidth="1"/>
    <col min="3586" max="3586" width="38.5" style="241" customWidth="1"/>
    <col min="3587" max="3587" width="5.5" style="241" bestFit="1" customWidth="1"/>
    <col min="3588" max="3588" width="8.1640625" style="241" bestFit="1" customWidth="1"/>
    <col min="3589" max="3589" width="9" style="241" bestFit="1" customWidth="1"/>
    <col min="3590" max="3590" width="12.5" style="241" customWidth="1"/>
    <col min="3591" max="3840" width="8.83203125" style="241"/>
    <col min="3841" max="3841" width="3.5" style="241" bestFit="1" customWidth="1"/>
    <col min="3842" max="3842" width="38.5" style="241" customWidth="1"/>
    <col min="3843" max="3843" width="5.5" style="241" bestFit="1" customWidth="1"/>
    <col min="3844" max="3844" width="8.1640625" style="241" bestFit="1" customWidth="1"/>
    <col min="3845" max="3845" width="9" style="241" bestFit="1" customWidth="1"/>
    <col min="3846" max="3846" width="12.5" style="241" customWidth="1"/>
    <col min="3847" max="4096" width="8.83203125" style="241"/>
    <col min="4097" max="4097" width="3.5" style="241" bestFit="1" customWidth="1"/>
    <col min="4098" max="4098" width="38.5" style="241" customWidth="1"/>
    <col min="4099" max="4099" width="5.5" style="241" bestFit="1" customWidth="1"/>
    <col min="4100" max="4100" width="8.1640625" style="241" bestFit="1" customWidth="1"/>
    <col min="4101" max="4101" width="9" style="241" bestFit="1" customWidth="1"/>
    <col min="4102" max="4102" width="12.5" style="241" customWidth="1"/>
    <col min="4103" max="4352" width="8.83203125" style="241"/>
    <col min="4353" max="4353" width="3.5" style="241" bestFit="1" customWidth="1"/>
    <col min="4354" max="4354" width="38.5" style="241" customWidth="1"/>
    <col min="4355" max="4355" width="5.5" style="241" bestFit="1" customWidth="1"/>
    <col min="4356" max="4356" width="8.1640625" style="241" bestFit="1" customWidth="1"/>
    <col min="4357" max="4357" width="9" style="241" bestFit="1" customWidth="1"/>
    <col min="4358" max="4358" width="12.5" style="241" customWidth="1"/>
    <col min="4359" max="4608" width="8.83203125" style="241"/>
    <col min="4609" max="4609" width="3.5" style="241" bestFit="1" customWidth="1"/>
    <col min="4610" max="4610" width="38.5" style="241" customWidth="1"/>
    <col min="4611" max="4611" width="5.5" style="241" bestFit="1" customWidth="1"/>
    <col min="4612" max="4612" width="8.1640625" style="241" bestFit="1" customWidth="1"/>
    <col min="4613" max="4613" width="9" style="241" bestFit="1" customWidth="1"/>
    <col min="4614" max="4614" width="12.5" style="241" customWidth="1"/>
    <col min="4615" max="4864" width="8.83203125" style="241"/>
    <col min="4865" max="4865" width="3.5" style="241" bestFit="1" customWidth="1"/>
    <col min="4866" max="4866" width="38.5" style="241" customWidth="1"/>
    <col min="4867" max="4867" width="5.5" style="241" bestFit="1" customWidth="1"/>
    <col min="4868" max="4868" width="8.1640625" style="241" bestFit="1" customWidth="1"/>
    <col min="4869" max="4869" width="9" style="241" bestFit="1" customWidth="1"/>
    <col min="4870" max="4870" width="12.5" style="241" customWidth="1"/>
    <col min="4871" max="5120" width="8.83203125" style="241"/>
    <col min="5121" max="5121" width="3.5" style="241" bestFit="1" customWidth="1"/>
    <col min="5122" max="5122" width="38.5" style="241" customWidth="1"/>
    <col min="5123" max="5123" width="5.5" style="241" bestFit="1" customWidth="1"/>
    <col min="5124" max="5124" width="8.1640625" style="241" bestFit="1" customWidth="1"/>
    <col min="5125" max="5125" width="9" style="241" bestFit="1" customWidth="1"/>
    <col min="5126" max="5126" width="12.5" style="241" customWidth="1"/>
    <col min="5127" max="5376" width="8.83203125" style="241"/>
    <col min="5377" max="5377" width="3.5" style="241" bestFit="1" customWidth="1"/>
    <col min="5378" max="5378" width="38.5" style="241" customWidth="1"/>
    <col min="5379" max="5379" width="5.5" style="241" bestFit="1" customWidth="1"/>
    <col min="5380" max="5380" width="8.1640625" style="241" bestFit="1" customWidth="1"/>
    <col min="5381" max="5381" width="9" style="241" bestFit="1" customWidth="1"/>
    <col min="5382" max="5382" width="12.5" style="241" customWidth="1"/>
    <col min="5383" max="5632" width="8.83203125" style="241"/>
    <col min="5633" max="5633" width="3.5" style="241" bestFit="1" customWidth="1"/>
    <col min="5634" max="5634" width="38.5" style="241" customWidth="1"/>
    <col min="5635" max="5635" width="5.5" style="241" bestFit="1" customWidth="1"/>
    <col min="5636" max="5636" width="8.1640625" style="241" bestFit="1" customWidth="1"/>
    <col min="5637" max="5637" width="9" style="241" bestFit="1" customWidth="1"/>
    <col min="5638" max="5638" width="12.5" style="241" customWidth="1"/>
    <col min="5639" max="5888" width="8.83203125" style="241"/>
    <col min="5889" max="5889" width="3.5" style="241" bestFit="1" customWidth="1"/>
    <col min="5890" max="5890" width="38.5" style="241" customWidth="1"/>
    <col min="5891" max="5891" width="5.5" style="241" bestFit="1" customWidth="1"/>
    <col min="5892" max="5892" width="8.1640625" style="241" bestFit="1" customWidth="1"/>
    <col min="5893" max="5893" width="9" style="241" bestFit="1" customWidth="1"/>
    <col min="5894" max="5894" width="12.5" style="241" customWidth="1"/>
    <col min="5895" max="6144" width="8.83203125" style="241"/>
    <col min="6145" max="6145" width="3.5" style="241" bestFit="1" customWidth="1"/>
    <col min="6146" max="6146" width="38.5" style="241" customWidth="1"/>
    <col min="6147" max="6147" width="5.5" style="241" bestFit="1" customWidth="1"/>
    <col min="6148" max="6148" width="8.1640625" style="241" bestFit="1" customWidth="1"/>
    <col min="6149" max="6149" width="9" style="241" bestFit="1" customWidth="1"/>
    <col min="6150" max="6150" width="12.5" style="241" customWidth="1"/>
    <col min="6151" max="6400" width="8.83203125" style="241"/>
    <col min="6401" max="6401" width="3.5" style="241" bestFit="1" customWidth="1"/>
    <col min="6402" max="6402" width="38.5" style="241" customWidth="1"/>
    <col min="6403" max="6403" width="5.5" style="241" bestFit="1" customWidth="1"/>
    <col min="6404" max="6404" width="8.1640625" style="241" bestFit="1" customWidth="1"/>
    <col min="6405" max="6405" width="9" style="241" bestFit="1" customWidth="1"/>
    <col min="6406" max="6406" width="12.5" style="241" customWidth="1"/>
    <col min="6407" max="6656" width="8.83203125" style="241"/>
    <col min="6657" max="6657" width="3.5" style="241" bestFit="1" customWidth="1"/>
    <col min="6658" max="6658" width="38.5" style="241" customWidth="1"/>
    <col min="6659" max="6659" width="5.5" style="241" bestFit="1" customWidth="1"/>
    <col min="6660" max="6660" width="8.1640625" style="241" bestFit="1" customWidth="1"/>
    <col min="6661" max="6661" width="9" style="241" bestFit="1" customWidth="1"/>
    <col min="6662" max="6662" width="12.5" style="241" customWidth="1"/>
    <col min="6663" max="6912" width="8.83203125" style="241"/>
    <col min="6913" max="6913" width="3.5" style="241" bestFit="1" customWidth="1"/>
    <col min="6914" max="6914" width="38.5" style="241" customWidth="1"/>
    <col min="6915" max="6915" width="5.5" style="241" bestFit="1" customWidth="1"/>
    <col min="6916" max="6916" width="8.1640625" style="241" bestFit="1" customWidth="1"/>
    <col min="6917" max="6917" width="9" style="241" bestFit="1" customWidth="1"/>
    <col min="6918" max="6918" width="12.5" style="241" customWidth="1"/>
    <col min="6919" max="7168" width="8.83203125" style="241"/>
    <col min="7169" max="7169" width="3.5" style="241" bestFit="1" customWidth="1"/>
    <col min="7170" max="7170" width="38.5" style="241" customWidth="1"/>
    <col min="7171" max="7171" width="5.5" style="241" bestFit="1" customWidth="1"/>
    <col min="7172" max="7172" width="8.1640625" style="241" bestFit="1" customWidth="1"/>
    <col min="7173" max="7173" width="9" style="241" bestFit="1" customWidth="1"/>
    <col min="7174" max="7174" width="12.5" style="241" customWidth="1"/>
    <col min="7175" max="7424" width="8.83203125" style="241"/>
    <col min="7425" max="7425" width="3.5" style="241" bestFit="1" customWidth="1"/>
    <col min="7426" max="7426" width="38.5" style="241" customWidth="1"/>
    <col min="7427" max="7427" width="5.5" style="241" bestFit="1" customWidth="1"/>
    <col min="7428" max="7428" width="8.1640625" style="241" bestFit="1" customWidth="1"/>
    <col min="7429" max="7429" width="9" style="241" bestFit="1" customWidth="1"/>
    <col min="7430" max="7430" width="12.5" style="241" customWidth="1"/>
    <col min="7431" max="7680" width="8.83203125" style="241"/>
    <col min="7681" max="7681" width="3.5" style="241" bestFit="1" customWidth="1"/>
    <col min="7682" max="7682" width="38.5" style="241" customWidth="1"/>
    <col min="7683" max="7683" width="5.5" style="241" bestFit="1" customWidth="1"/>
    <col min="7684" max="7684" width="8.1640625" style="241" bestFit="1" customWidth="1"/>
    <col min="7685" max="7685" width="9" style="241" bestFit="1" customWidth="1"/>
    <col min="7686" max="7686" width="12.5" style="241" customWidth="1"/>
    <col min="7687" max="7936" width="8.83203125" style="241"/>
    <col min="7937" max="7937" width="3.5" style="241" bestFit="1" customWidth="1"/>
    <col min="7938" max="7938" width="38.5" style="241" customWidth="1"/>
    <col min="7939" max="7939" width="5.5" style="241" bestFit="1" customWidth="1"/>
    <col min="7940" max="7940" width="8.1640625" style="241" bestFit="1" customWidth="1"/>
    <col min="7941" max="7941" width="9" style="241" bestFit="1" customWidth="1"/>
    <col min="7942" max="7942" width="12.5" style="241" customWidth="1"/>
    <col min="7943" max="8192" width="8.83203125" style="241"/>
    <col min="8193" max="8193" width="3.5" style="241" bestFit="1" customWidth="1"/>
    <col min="8194" max="8194" width="38.5" style="241" customWidth="1"/>
    <col min="8195" max="8195" width="5.5" style="241" bestFit="1" customWidth="1"/>
    <col min="8196" max="8196" width="8.1640625" style="241" bestFit="1" customWidth="1"/>
    <col min="8197" max="8197" width="9" style="241" bestFit="1" customWidth="1"/>
    <col min="8198" max="8198" width="12.5" style="241" customWidth="1"/>
    <col min="8199" max="8448" width="8.83203125" style="241"/>
    <col min="8449" max="8449" width="3.5" style="241" bestFit="1" customWidth="1"/>
    <col min="8450" max="8450" width="38.5" style="241" customWidth="1"/>
    <col min="8451" max="8451" width="5.5" style="241" bestFit="1" customWidth="1"/>
    <col min="8452" max="8452" width="8.1640625" style="241" bestFit="1" customWidth="1"/>
    <col min="8453" max="8453" width="9" style="241" bestFit="1" customWidth="1"/>
    <col min="8454" max="8454" width="12.5" style="241" customWidth="1"/>
    <col min="8455" max="8704" width="8.83203125" style="241"/>
    <col min="8705" max="8705" width="3.5" style="241" bestFit="1" customWidth="1"/>
    <col min="8706" max="8706" width="38.5" style="241" customWidth="1"/>
    <col min="8707" max="8707" width="5.5" style="241" bestFit="1" customWidth="1"/>
    <col min="8708" max="8708" width="8.1640625" style="241" bestFit="1" customWidth="1"/>
    <col min="8709" max="8709" width="9" style="241" bestFit="1" customWidth="1"/>
    <col min="8710" max="8710" width="12.5" style="241" customWidth="1"/>
    <col min="8711" max="8960" width="8.83203125" style="241"/>
    <col min="8961" max="8961" width="3.5" style="241" bestFit="1" customWidth="1"/>
    <col min="8962" max="8962" width="38.5" style="241" customWidth="1"/>
    <col min="8963" max="8963" width="5.5" style="241" bestFit="1" customWidth="1"/>
    <col min="8964" max="8964" width="8.1640625" style="241" bestFit="1" customWidth="1"/>
    <col min="8965" max="8965" width="9" style="241" bestFit="1" customWidth="1"/>
    <col min="8966" max="8966" width="12.5" style="241" customWidth="1"/>
    <col min="8967" max="9216" width="8.83203125" style="241"/>
    <col min="9217" max="9217" width="3.5" style="241" bestFit="1" customWidth="1"/>
    <col min="9218" max="9218" width="38.5" style="241" customWidth="1"/>
    <col min="9219" max="9219" width="5.5" style="241" bestFit="1" customWidth="1"/>
    <col min="9220" max="9220" width="8.1640625" style="241" bestFit="1" customWidth="1"/>
    <col min="9221" max="9221" width="9" style="241" bestFit="1" customWidth="1"/>
    <col min="9222" max="9222" width="12.5" style="241" customWidth="1"/>
    <col min="9223" max="9472" width="8.83203125" style="241"/>
    <col min="9473" max="9473" width="3.5" style="241" bestFit="1" customWidth="1"/>
    <col min="9474" max="9474" width="38.5" style="241" customWidth="1"/>
    <col min="9475" max="9475" width="5.5" style="241" bestFit="1" customWidth="1"/>
    <col min="9476" max="9476" width="8.1640625" style="241" bestFit="1" customWidth="1"/>
    <col min="9477" max="9477" width="9" style="241" bestFit="1" customWidth="1"/>
    <col min="9478" max="9478" width="12.5" style="241" customWidth="1"/>
    <col min="9479" max="9728" width="8.83203125" style="241"/>
    <col min="9729" max="9729" width="3.5" style="241" bestFit="1" customWidth="1"/>
    <col min="9730" max="9730" width="38.5" style="241" customWidth="1"/>
    <col min="9731" max="9731" width="5.5" style="241" bestFit="1" customWidth="1"/>
    <col min="9732" max="9732" width="8.1640625" style="241" bestFit="1" customWidth="1"/>
    <col min="9733" max="9733" width="9" style="241" bestFit="1" customWidth="1"/>
    <col min="9734" max="9734" width="12.5" style="241" customWidth="1"/>
    <col min="9735" max="9984" width="8.83203125" style="241"/>
    <col min="9985" max="9985" width="3.5" style="241" bestFit="1" customWidth="1"/>
    <col min="9986" max="9986" width="38.5" style="241" customWidth="1"/>
    <col min="9987" max="9987" width="5.5" style="241" bestFit="1" customWidth="1"/>
    <col min="9988" max="9988" width="8.1640625" style="241" bestFit="1" customWidth="1"/>
    <col min="9989" max="9989" width="9" style="241" bestFit="1" customWidth="1"/>
    <col min="9990" max="9990" width="12.5" style="241" customWidth="1"/>
    <col min="9991" max="10240" width="8.83203125" style="241"/>
    <col min="10241" max="10241" width="3.5" style="241" bestFit="1" customWidth="1"/>
    <col min="10242" max="10242" width="38.5" style="241" customWidth="1"/>
    <col min="10243" max="10243" width="5.5" style="241" bestFit="1" customWidth="1"/>
    <col min="10244" max="10244" width="8.1640625" style="241" bestFit="1" customWidth="1"/>
    <col min="10245" max="10245" width="9" style="241" bestFit="1" customWidth="1"/>
    <col min="10246" max="10246" width="12.5" style="241" customWidth="1"/>
    <col min="10247" max="10496" width="8.83203125" style="241"/>
    <col min="10497" max="10497" width="3.5" style="241" bestFit="1" customWidth="1"/>
    <col min="10498" max="10498" width="38.5" style="241" customWidth="1"/>
    <col min="10499" max="10499" width="5.5" style="241" bestFit="1" customWidth="1"/>
    <col min="10500" max="10500" width="8.1640625" style="241" bestFit="1" customWidth="1"/>
    <col min="10501" max="10501" width="9" style="241" bestFit="1" customWidth="1"/>
    <col min="10502" max="10502" width="12.5" style="241" customWidth="1"/>
    <col min="10503" max="10752" width="8.83203125" style="241"/>
    <col min="10753" max="10753" width="3.5" style="241" bestFit="1" customWidth="1"/>
    <col min="10754" max="10754" width="38.5" style="241" customWidth="1"/>
    <col min="10755" max="10755" width="5.5" style="241" bestFit="1" customWidth="1"/>
    <col min="10756" max="10756" width="8.1640625" style="241" bestFit="1" customWidth="1"/>
    <col min="10757" max="10757" width="9" style="241" bestFit="1" customWidth="1"/>
    <col min="10758" max="10758" width="12.5" style="241" customWidth="1"/>
    <col min="10759" max="11008" width="8.83203125" style="241"/>
    <col min="11009" max="11009" width="3.5" style="241" bestFit="1" customWidth="1"/>
    <col min="11010" max="11010" width="38.5" style="241" customWidth="1"/>
    <col min="11011" max="11011" width="5.5" style="241" bestFit="1" customWidth="1"/>
    <col min="11012" max="11012" width="8.1640625" style="241" bestFit="1" customWidth="1"/>
    <col min="11013" max="11013" width="9" style="241" bestFit="1" customWidth="1"/>
    <col min="11014" max="11014" width="12.5" style="241" customWidth="1"/>
    <col min="11015" max="11264" width="8.83203125" style="241"/>
    <col min="11265" max="11265" width="3.5" style="241" bestFit="1" customWidth="1"/>
    <col min="11266" max="11266" width="38.5" style="241" customWidth="1"/>
    <col min="11267" max="11267" width="5.5" style="241" bestFit="1" customWidth="1"/>
    <col min="11268" max="11268" width="8.1640625" style="241" bestFit="1" customWidth="1"/>
    <col min="11269" max="11269" width="9" style="241" bestFit="1" customWidth="1"/>
    <col min="11270" max="11270" width="12.5" style="241" customWidth="1"/>
    <col min="11271" max="11520" width="8.83203125" style="241"/>
    <col min="11521" max="11521" width="3.5" style="241" bestFit="1" customWidth="1"/>
    <col min="11522" max="11522" width="38.5" style="241" customWidth="1"/>
    <col min="11523" max="11523" width="5.5" style="241" bestFit="1" customWidth="1"/>
    <col min="11524" max="11524" width="8.1640625" style="241" bestFit="1" customWidth="1"/>
    <col min="11525" max="11525" width="9" style="241" bestFit="1" customWidth="1"/>
    <col min="11526" max="11526" width="12.5" style="241" customWidth="1"/>
    <col min="11527" max="11776" width="8.83203125" style="241"/>
    <col min="11777" max="11777" width="3.5" style="241" bestFit="1" customWidth="1"/>
    <col min="11778" max="11778" width="38.5" style="241" customWidth="1"/>
    <col min="11779" max="11779" width="5.5" style="241" bestFit="1" customWidth="1"/>
    <col min="11780" max="11780" width="8.1640625" style="241" bestFit="1" customWidth="1"/>
    <col min="11781" max="11781" width="9" style="241" bestFit="1" customWidth="1"/>
    <col min="11782" max="11782" width="12.5" style="241" customWidth="1"/>
    <col min="11783" max="12032" width="8.83203125" style="241"/>
    <col min="12033" max="12033" width="3.5" style="241" bestFit="1" customWidth="1"/>
    <col min="12034" max="12034" width="38.5" style="241" customWidth="1"/>
    <col min="12035" max="12035" width="5.5" style="241" bestFit="1" customWidth="1"/>
    <col min="12036" max="12036" width="8.1640625" style="241" bestFit="1" customWidth="1"/>
    <col min="12037" max="12037" width="9" style="241" bestFit="1" customWidth="1"/>
    <col min="12038" max="12038" width="12.5" style="241" customWidth="1"/>
    <col min="12039" max="12288" width="8.83203125" style="241"/>
    <col min="12289" max="12289" width="3.5" style="241" bestFit="1" customWidth="1"/>
    <col min="12290" max="12290" width="38.5" style="241" customWidth="1"/>
    <col min="12291" max="12291" width="5.5" style="241" bestFit="1" customWidth="1"/>
    <col min="12292" max="12292" width="8.1640625" style="241" bestFit="1" customWidth="1"/>
    <col min="12293" max="12293" width="9" style="241" bestFit="1" customWidth="1"/>
    <col min="12294" max="12294" width="12.5" style="241" customWidth="1"/>
    <col min="12295" max="12544" width="8.83203125" style="241"/>
    <col min="12545" max="12545" width="3.5" style="241" bestFit="1" customWidth="1"/>
    <col min="12546" max="12546" width="38.5" style="241" customWidth="1"/>
    <col min="12547" max="12547" width="5.5" style="241" bestFit="1" customWidth="1"/>
    <col min="12548" max="12548" width="8.1640625" style="241" bestFit="1" customWidth="1"/>
    <col min="12549" max="12549" width="9" style="241" bestFit="1" customWidth="1"/>
    <col min="12550" max="12550" width="12.5" style="241" customWidth="1"/>
    <col min="12551" max="12800" width="8.83203125" style="241"/>
    <col min="12801" max="12801" width="3.5" style="241" bestFit="1" customWidth="1"/>
    <col min="12802" max="12802" width="38.5" style="241" customWidth="1"/>
    <col min="12803" max="12803" width="5.5" style="241" bestFit="1" customWidth="1"/>
    <col min="12804" max="12804" width="8.1640625" style="241" bestFit="1" customWidth="1"/>
    <col min="12805" max="12805" width="9" style="241" bestFit="1" customWidth="1"/>
    <col min="12806" max="12806" width="12.5" style="241" customWidth="1"/>
    <col min="12807" max="13056" width="8.83203125" style="241"/>
    <col min="13057" max="13057" width="3.5" style="241" bestFit="1" customWidth="1"/>
    <col min="13058" max="13058" width="38.5" style="241" customWidth="1"/>
    <col min="13059" max="13059" width="5.5" style="241" bestFit="1" customWidth="1"/>
    <col min="13060" max="13060" width="8.1640625" style="241" bestFit="1" customWidth="1"/>
    <col min="13061" max="13061" width="9" style="241" bestFit="1" customWidth="1"/>
    <col min="13062" max="13062" width="12.5" style="241" customWidth="1"/>
    <col min="13063" max="13312" width="8.83203125" style="241"/>
    <col min="13313" max="13313" width="3.5" style="241" bestFit="1" customWidth="1"/>
    <col min="13314" max="13314" width="38.5" style="241" customWidth="1"/>
    <col min="13315" max="13315" width="5.5" style="241" bestFit="1" customWidth="1"/>
    <col min="13316" max="13316" width="8.1640625" style="241" bestFit="1" customWidth="1"/>
    <col min="13317" max="13317" width="9" style="241" bestFit="1" customWidth="1"/>
    <col min="13318" max="13318" width="12.5" style="241" customWidth="1"/>
    <col min="13319" max="13568" width="8.83203125" style="241"/>
    <col min="13569" max="13569" width="3.5" style="241" bestFit="1" customWidth="1"/>
    <col min="13570" max="13570" width="38.5" style="241" customWidth="1"/>
    <col min="13571" max="13571" width="5.5" style="241" bestFit="1" customWidth="1"/>
    <col min="13572" max="13572" width="8.1640625" style="241" bestFit="1" customWidth="1"/>
    <col min="13573" max="13573" width="9" style="241" bestFit="1" customWidth="1"/>
    <col min="13574" max="13574" width="12.5" style="241" customWidth="1"/>
    <col min="13575" max="13824" width="8.83203125" style="241"/>
    <col min="13825" max="13825" width="3.5" style="241" bestFit="1" customWidth="1"/>
    <col min="13826" max="13826" width="38.5" style="241" customWidth="1"/>
    <col min="13827" max="13827" width="5.5" style="241" bestFit="1" customWidth="1"/>
    <col min="13828" max="13828" width="8.1640625" style="241" bestFit="1" customWidth="1"/>
    <col min="13829" max="13829" width="9" style="241" bestFit="1" customWidth="1"/>
    <col min="13830" max="13830" width="12.5" style="241" customWidth="1"/>
    <col min="13831" max="14080" width="8.83203125" style="241"/>
    <col min="14081" max="14081" width="3.5" style="241" bestFit="1" customWidth="1"/>
    <col min="14082" max="14082" width="38.5" style="241" customWidth="1"/>
    <col min="14083" max="14083" width="5.5" style="241" bestFit="1" customWidth="1"/>
    <col min="14084" max="14084" width="8.1640625" style="241" bestFit="1" customWidth="1"/>
    <col min="14085" max="14085" width="9" style="241" bestFit="1" customWidth="1"/>
    <col min="14086" max="14086" width="12.5" style="241" customWidth="1"/>
    <col min="14087" max="14336" width="8.83203125" style="241"/>
    <col min="14337" max="14337" width="3.5" style="241" bestFit="1" customWidth="1"/>
    <col min="14338" max="14338" width="38.5" style="241" customWidth="1"/>
    <col min="14339" max="14339" width="5.5" style="241" bestFit="1" customWidth="1"/>
    <col min="14340" max="14340" width="8.1640625" style="241" bestFit="1" customWidth="1"/>
    <col min="14341" max="14341" width="9" style="241" bestFit="1" customWidth="1"/>
    <col min="14342" max="14342" width="12.5" style="241" customWidth="1"/>
    <col min="14343" max="14592" width="8.83203125" style="241"/>
    <col min="14593" max="14593" width="3.5" style="241" bestFit="1" customWidth="1"/>
    <col min="14594" max="14594" width="38.5" style="241" customWidth="1"/>
    <col min="14595" max="14595" width="5.5" style="241" bestFit="1" customWidth="1"/>
    <col min="14596" max="14596" width="8.1640625" style="241" bestFit="1" customWidth="1"/>
    <col min="14597" max="14597" width="9" style="241" bestFit="1" customWidth="1"/>
    <col min="14598" max="14598" width="12.5" style="241" customWidth="1"/>
    <col min="14599" max="14848" width="8.83203125" style="241"/>
    <col min="14849" max="14849" width="3.5" style="241" bestFit="1" customWidth="1"/>
    <col min="14850" max="14850" width="38.5" style="241" customWidth="1"/>
    <col min="14851" max="14851" width="5.5" style="241" bestFit="1" customWidth="1"/>
    <col min="14852" max="14852" width="8.1640625" style="241" bestFit="1" customWidth="1"/>
    <col min="14853" max="14853" width="9" style="241" bestFit="1" customWidth="1"/>
    <col min="14854" max="14854" width="12.5" style="241" customWidth="1"/>
    <col min="14855" max="15104" width="8.83203125" style="241"/>
    <col min="15105" max="15105" width="3.5" style="241" bestFit="1" customWidth="1"/>
    <col min="15106" max="15106" width="38.5" style="241" customWidth="1"/>
    <col min="15107" max="15107" width="5.5" style="241" bestFit="1" customWidth="1"/>
    <col min="15108" max="15108" width="8.1640625" style="241" bestFit="1" customWidth="1"/>
    <col min="15109" max="15109" width="9" style="241" bestFit="1" customWidth="1"/>
    <col min="15110" max="15110" width="12.5" style="241" customWidth="1"/>
    <col min="15111" max="15360" width="8.83203125" style="241"/>
    <col min="15361" max="15361" width="3.5" style="241" bestFit="1" customWidth="1"/>
    <col min="15362" max="15362" width="38.5" style="241" customWidth="1"/>
    <col min="15363" max="15363" width="5.5" style="241" bestFit="1" customWidth="1"/>
    <col min="15364" max="15364" width="8.1640625" style="241" bestFit="1" customWidth="1"/>
    <col min="15365" max="15365" width="9" style="241" bestFit="1" customWidth="1"/>
    <col min="15366" max="15366" width="12.5" style="241" customWidth="1"/>
    <col min="15367" max="15616" width="8.83203125" style="241"/>
    <col min="15617" max="15617" width="3.5" style="241" bestFit="1" customWidth="1"/>
    <col min="15618" max="15618" width="38.5" style="241" customWidth="1"/>
    <col min="15619" max="15619" width="5.5" style="241" bestFit="1" customWidth="1"/>
    <col min="15620" max="15620" width="8.1640625" style="241" bestFit="1" customWidth="1"/>
    <col min="15621" max="15621" width="9" style="241" bestFit="1" customWidth="1"/>
    <col min="15622" max="15622" width="12.5" style="241" customWidth="1"/>
    <col min="15623" max="15872" width="8.83203125" style="241"/>
    <col min="15873" max="15873" width="3.5" style="241" bestFit="1" customWidth="1"/>
    <col min="15874" max="15874" width="38.5" style="241" customWidth="1"/>
    <col min="15875" max="15875" width="5.5" style="241" bestFit="1" customWidth="1"/>
    <col min="15876" max="15876" width="8.1640625" style="241" bestFit="1" customWidth="1"/>
    <col min="15877" max="15877" width="9" style="241" bestFit="1" customWidth="1"/>
    <col min="15878" max="15878" width="12.5" style="241" customWidth="1"/>
    <col min="15879" max="16128" width="8.83203125" style="241"/>
    <col min="16129" max="16129" width="3.5" style="241" bestFit="1" customWidth="1"/>
    <col min="16130" max="16130" width="38.5" style="241" customWidth="1"/>
    <col min="16131" max="16131" width="5.5" style="241" bestFit="1" customWidth="1"/>
    <col min="16132" max="16132" width="8.1640625" style="241" bestFit="1" customWidth="1"/>
    <col min="16133" max="16133" width="9" style="241" bestFit="1" customWidth="1"/>
    <col min="16134" max="16134" width="12.5" style="241" customWidth="1"/>
    <col min="16135" max="16384" width="8.83203125" style="241"/>
  </cols>
  <sheetData>
    <row r="1" spans="1:8">
      <c r="A1" s="236"/>
      <c r="B1" s="237"/>
      <c r="C1" s="236"/>
      <c r="D1" s="236"/>
      <c r="E1" s="238"/>
      <c r="F1" s="239" t="s">
        <v>1161</v>
      </c>
    </row>
    <row r="2" spans="1:8">
      <c r="A2" s="236"/>
      <c r="B2" s="237"/>
      <c r="C2" s="236"/>
      <c r="D2" s="236"/>
      <c r="E2" s="238"/>
      <c r="F2" s="239" t="s">
        <v>1272</v>
      </c>
    </row>
    <row r="3" spans="1:8">
      <c r="A3" s="236"/>
      <c r="B3" s="237"/>
      <c r="C3" s="236"/>
      <c r="D3" s="236"/>
      <c r="E3" s="238"/>
      <c r="F3" s="239" t="s">
        <v>1159</v>
      </c>
    </row>
    <row r="4" spans="1:8">
      <c r="A4" s="236"/>
      <c r="B4" s="237"/>
      <c r="C4" s="236"/>
      <c r="D4" s="236"/>
      <c r="E4" s="238"/>
      <c r="F4" s="239" t="s">
        <v>1319</v>
      </c>
    </row>
    <row r="5" spans="1:8">
      <c r="A5" s="238"/>
      <c r="B5" s="242" t="s">
        <v>1157</v>
      </c>
      <c r="C5" s="238"/>
      <c r="D5" s="238"/>
      <c r="E5" s="238"/>
      <c r="F5" s="243" t="s">
        <v>1156</v>
      </c>
    </row>
    <row r="6" spans="1:8" ht="16">
      <c r="A6" s="238"/>
      <c r="B6" s="244" t="s">
        <v>1320</v>
      </c>
      <c r="C6" s="238"/>
      <c r="D6" s="238"/>
      <c r="E6" s="238"/>
      <c r="F6" s="245"/>
    </row>
    <row r="7" spans="1:8">
      <c r="A7" s="238"/>
      <c r="B7" s="242"/>
      <c r="C7" s="238"/>
      <c r="D7" s="238"/>
      <c r="E7" s="238"/>
      <c r="F7" s="245"/>
    </row>
    <row r="8" spans="1:8" ht="34">
      <c r="A8" s="246" t="s">
        <v>1154</v>
      </c>
      <c r="B8" s="247" t="s">
        <v>1153</v>
      </c>
      <c r="C8" s="248" t="s">
        <v>1275</v>
      </c>
      <c r="D8" s="248" t="s">
        <v>1276</v>
      </c>
      <c r="E8" s="248" t="s">
        <v>1277</v>
      </c>
      <c r="F8" s="249" t="s">
        <v>1278</v>
      </c>
      <c r="G8" s="250" t="s">
        <v>1279</v>
      </c>
      <c r="H8" s="251"/>
    </row>
    <row r="9" spans="1:8">
      <c r="A9" s="359">
        <v>1</v>
      </c>
      <c r="B9" s="252" t="s">
        <v>1321</v>
      </c>
      <c r="C9" s="253" t="s">
        <v>1290</v>
      </c>
      <c r="D9" s="253">
        <v>0.33700000000000002</v>
      </c>
      <c r="E9" s="254">
        <v>60.66</v>
      </c>
      <c r="F9" s="255">
        <f>IF(ISERROR(SEARCH("химия",B9)),D9*E9,D9*E9*G9/1000)</f>
        <v>20.442419999999998</v>
      </c>
      <c r="G9" s="256" t="str">
        <f>IF(ISERROR(SEARCH("химия",B9)),IF(ISERROR(SEARCH("RAL",B9)),"","RAL"),5)</f>
        <v/>
      </c>
    </row>
    <row r="10" spans="1:8">
      <c r="A10" s="360"/>
      <c r="B10" s="252" t="s">
        <v>1322</v>
      </c>
      <c r="C10" s="253" t="s">
        <v>1290</v>
      </c>
      <c r="D10" s="253">
        <v>22.242999999999999</v>
      </c>
      <c r="E10" s="254">
        <v>61.48</v>
      </c>
      <c r="F10" s="255">
        <f t="shared" ref="F10:F19" si="0">IF(ISERROR(SEARCH("химия",B10)),D10*E10,D10*E10*G10/1000)</f>
        <v>1367.4996399999998</v>
      </c>
      <c r="G10" s="256" t="str">
        <f t="shared" ref="G10:G19" si="1">IF(ISERROR(SEARCH("химия",B10)),IF(ISERROR(SEARCH("RAL",B10)),"","RAL"),5)</f>
        <v/>
      </c>
    </row>
    <row r="11" spans="1:8">
      <c r="A11" s="360"/>
      <c r="B11" s="252" t="s">
        <v>1323</v>
      </c>
      <c r="C11" s="253" t="s">
        <v>1290</v>
      </c>
      <c r="D11" s="253">
        <v>1.1319999999999999</v>
      </c>
      <c r="E11" s="254">
        <v>379.82</v>
      </c>
      <c r="F11" s="255">
        <f t="shared" si="0"/>
        <v>429.95623999999998</v>
      </c>
      <c r="G11" s="256">
        <v>350</v>
      </c>
    </row>
    <row r="12" spans="1:8">
      <c r="A12" s="360"/>
      <c r="B12" s="252" t="s">
        <v>1324</v>
      </c>
      <c r="C12" s="253" t="s">
        <v>1177</v>
      </c>
      <c r="D12" s="253">
        <v>2.94</v>
      </c>
      <c r="E12" s="254">
        <v>0.52</v>
      </c>
      <c r="F12" s="255">
        <f>IF(ISERROR(SEARCH("химия",B12)),D12*E12,D12*E12*G12)</f>
        <v>7.6440000000000001</v>
      </c>
      <c r="G12" s="256">
        <f t="shared" si="1"/>
        <v>5</v>
      </c>
    </row>
    <row r="13" spans="1:8" ht="14.25" customHeight="1">
      <c r="A13" s="360"/>
      <c r="B13" s="252" t="s">
        <v>1325</v>
      </c>
      <c r="C13" s="253" t="s">
        <v>1284</v>
      </c>
      <c r="D13" s="253">
        <v>4</v>
      </c>
      <c r="E13" s="254">
        <v>1.22</v>
      </c>
      <c r="F13" s="255">
        <f t="shared" si="0"/>
        <v>4.88</v>
      </c>
      <c r="G13" s="256" t="str">
        <f t="shared" si="1"/>
        <v/>
      </c>
    </row>
    <row r="14" spans="1:8">
      <c r="A14" s="360"/>
      <c r="B14" s="252" t="s">
        <v>1326</v>
      </c>
      <c r="C14" s="253" t="s">
        <v>1284</v>
      </c>
      <c r="D14" s="253">
        <v>6</v>
      </c>
      <c r="E14" s="254">
        <v>0.55000000000000004</v>
      </c>
      <c r="F14" s="255">
        <f t="shared" si="0"/>
        <v>3.3000000000000003</v>
      </c>
      <c r="G14" s="256" t="str">
        <f t="shared" si="1"/>
        <v/>
      </c>
    </row>
    <row r="15" spans="1:8" ht="15.75" customHeight="1">
      <c r="A15" s="360"/>
      <c r="B15" s="257" t="s">
        <v>1327</v>
      </c>
      <c r="C15" s="253" t="s">
        <v>1284</v>
      </c>
      <c r="D15" s="253">
        <v>4</v>
      </c>
      <c r="E15" s="254">
        <v>2.02</v>
      </c>
      <c r="F15" s="255">
        <f t="shared" si="0"/>
        <v>8.08</v>
      </c>
      <c r="G15" s="256" t="str">
        <f t="shared" si="1"/>
        <v/>
      </c>
      <c r="H15" s="258"/>
    </row>
    <row r="16" spans="1:8" ht="15.75" customHeight="1">
      <c r="A16" s="360"/>
      <c r="B16" s="257" t="s">
        <v>1328</v>
      </c>
      <c r="C16" s="253" t="s">
        <v>1284</v>
      </c>
      <c r="D16" s="253">
        <v>1</v>
      </c>
      <c r="E16" s="254">
        <v>39</v>
      </c>
      <c r="F16" s="255">
        <f t="shared" si="0"/>
        <v>39</v>
      </c>
      <c r="G16" s="256" t="str">
        <f t="shared" si="1"/>
        <v/>
      </c>
      <c r="H16" s="258"/>
    </row>
    <row r="17" spans="1:8" ht="15.75" customHeight="1">
      <c r="A17" s="360"/>
      <c r="B17" s="257" t="s">
        <v>1329</v>
      </c>
      <c r="C17" s="253" t="s">
        <v>1284</v>
      </c>
      <c r="D17" s="253">
        <v>1</v>
      </c>
      <c r="E17" s="254">
        <v>52.68</v>
      </c>
      <c r="F17" s="255">
        <f t="shared" si="0"/>
        <v>52.68</v>
      </c>
      <c r="G17" s="256" t="str">
        <f t="shared" si="1"/>
        <v/>
      </c>
      <c r="H17" s="258"/>
    </row>
    <row r="18" spans="1:8" ht="15.75" customHeight="1">
      <c r="A18" s="360"/>
      <c r="B18" s="257" t="s">
        <v>1197</v>
      </c>
      <c r="C18" s="253" t="s">
        <v>1284</v>
      </c>
      <c r="D18" s="253">
        <v>2</v>
      </c>
      <c r="E18" s="254">
        <v>454.1</v>
      </c>
      <c r="F18" s="255">
        <f t="shared" si="0"/>
        <v>908.2</v>
      </c>
      <c r="G18" s="256" t="str">
        <f t="shared" si="1"/>
        <v/>
      </c>
      <c r="H18" s="258"/>
    </row>
    <row r="19" spans="1:8" ht="15.75" customHeight="1">
      <c r="A19" s="360"/>
      <c r="B19" s="257" t="s">
        <v>1186</v>
      </c>
      <c r="C19" s="253" t="s">
        <v>1284</v>
      </c>
      <c r="D19" s="253">
        <v>1</v>
      </c>
      <c r="E19" s="254">
        <v>6</v>
      </c>
      <c r="F19" s="255">
        <f t="shared" si="0"/>
        <v>6</v>
      </c>
      <c r="G19" s="256" t="str">
        <f t="shared" si="1"/>
        <v/>
      </c>
      <c r="H19" s="258"/>
    </row>
    <row r="20" spans="1:8">
      <c r="A20" s="360"/>
      <c r="B20" s="259" t="s">
        <v>1118</v>
      </c>
      <c r="C20" s="260"/>
      <c r="D20" s="261"/>
      <c r="E20" s="262"/>
      <c r="F20" s="263">
        <f>SUM(F9:F19)</f>
        <v>2847.6822999999999</v>
      </c>
    </row>
    <row r="21" spans="1:8">
      <c r="A21" s="360"/>
      <c r="B21" s="264" t="s">
        <v>1285</v>
      </c>
      <c r="C21" s="265"/>
      <c r="D21" s="253"/>
      <c r="E21" s="266">
        <v>0.01</v>
      </c>
      <c r="F21" s="255">
        <f>F20*E21</f>
        <v>28.476823</v>
      </c>
    </row>
    <row r="22" spans="1:8">
      <c r="A22" s="361"/>
      <c r="B22" s="259" t="s">
        <v>1286</v>
      </c>
      <c r="C22" s="265"/>
      <c r="D22" s="253"/>
      <c r="E22" s="253"/>
      <c r="F22" s="263">
        <f>SUM(F20:F21)</f>
        <v>2876.1591229999999</v>
      </c>
    </row>
    <row r="23" spans="1:8">
      <c r="A23" s="246">
        <v>2</v>
      </c>
      <c r="B23" s="259" t="s">
        <v>1114</v>
      </c>
      <c r="C23" s="265"/>
      <c r="D23" s="253"/>
      <c r="E23" s="266">
        <v>0.14000000000000001</v>
      </c>
      <c r="F23" s="255">
        <f>F22*E23</f>
        <v>402.66227722000002</v>
      </c>
    </row>
    <row r="24" spans="1:8">
      <c r="A24" s="246"/>
      <c r="B24" s="264" t="s">
        <v>1113</v>
      </c>
      <c r="C24" s="265"/>
      <c r="D24" s="253"/>
      <c r="E24" s="266">
        <v>0.14000000000000001</v>
      </c>
      <c r="F24" s="255">
        <f>F23*E24</f>
        <v>56.372718810800009</v>
      </c>
    </row>
    <row r="25" spans="1:8">
      <c r="A25" s="246"/>
      <c r="B25" s="264" t="s">
        <v>1287</v>
      </c>
      <c r="C25" s="265"/>
      <c r="D25" s="253"/>
      <c r="E25" s="266"/>
      <c r="F25" s="255">
        <f>(F23+F24)*31.3%</f>
        <v>143.67795375764041</v>
      </c>
    </row>
    <row r="26" spans="1:8">
      <c r="A26" s="246">
        <v>3</v>
      </c>
      <c r="B26" s="259" t="s">
        <v>1109</v>
      </c>
      <c r="C26" s="265"/>
      <c r="D26" s="253"/>
      <c r="E26" s="266">
        <v>1.5</v>
      </c>
      <c r="F26" s="255">
        <f>F23*E26</f>
        <v>603.99341583</v>
      </c>
    </row>
    <row r="27" spans="1:8">
      <c r="A27" s="246">
        <v>4</v>
      </c>
      <c r="B27" s="259" t="s">
        <v>1107</v>
      </c>
      <c r="C27" s="265"/>
      <c r="D27" s="253"/>
      <c r="E27" s="267"/>
      <c r="F27" s="249">
        <f>F22+F23+F24+F25+F26</f>
        <v>4082.8654886184404</v>
      </c>
    </row>
    <row r="28" spans="1:8">
      <c r="A28" s="246">
        <v>5</v>
      </c>
      <c r="B28" s="259" t="s">
        <v>1105</v>
      </c>
      <c r="C28" s="265"/>
      <c r="D28" s="253"/>
      <c r="E28" s="268">
        <v>1</v>
      </c>
      <c r="F28" s="269">
        <f>F23*E28</f>
        <v>402.66227722000002</v>
      </c>
    </row>
    <row r="29" spans="1:8">
      <c r="A29" s="246"/>
      <c r="B29" s="259"/>
      <c r="C29" s="265"/>
      <c r="D29" s="253"/>
      <c r="E29" s="268">
        <v>0.8</v>
      </c>
      <c r="F29" s="269">
        <f>F23*E29</f>
        <v>322.12982177600003</v>
      </c>
    </row>
    <row r="30" spans="1:8">
      <c r="A30" s="246">
        <v>6</v>
      </c>
      <c r="B30" s="259" t="s">
        <v>1288</v>
      </c>
      <c r="C30" s="265"/>
      <c r="D30" s="253"/>
      <c r="E30" s="253"/>
      <c r="F30" s="269">
        <f>F27+F28</f>
        <v>4485.5277658384402</v>
      </c>
    </row>
    <row r="31" spans="1:8">
      <c r="A31" s="246"/>
      <c r="B31" s="259"/>
      <c r="C31" s="265"/>
      <c r="D31" s="253"/>
      <c r="E31" s="253"/>
      <c r="F31" s="269">
        <f>F27+F29</f>
        <v>4404.9953103944408</v>
      </c>
    </row>
    <row r="32" spans="1:8">
      <c r="A32" s="246">
        <v>7</v>
      </c>
      <c r="B32" s="259" t="s">
        <v>83</v>
      </c>
      <c r="C32" s="265"/>
      <c r="D32" s="253"/>
      <c r="E32" s="266">
        <v>0.4</v>
      </c>
      <c r="F32" s="269">
        <f>F30*E32</f>
        <v>1794.2111063353761</v>
      </c>
    </row>
    <row r="33" spans="1:8">
      <c r="A33" s="246"/>
      <c r="B33" s="259"/>
      <c r="C33" s="265"/>
      <c r="D33" s="253"/>
      <c r="E33" s="266">
        <v>7.0000000000000007E-2</v>
      </c>
      <c r="F33" s="269">
        <f>F31*E33</f>
        <v>308.34967172761088</v>
      </c>
    </row>
    <row r="34" spans="1:8">
      <c r="A34" s="246">
        <v>8</v>
      </c>
      <c r="B34" s="270" t="s">
        <v>1100</v>
      </c>
      <c r="C34" s="265"/>
      <c r="D34" s="253"/>
      <c r="E34" s="266"/>
      <c r="F34" s="269">
        <v>84</v>
      </c>
      <c r="H34" s="241" t="s">
        <v>1330</v>
      </c>
    </row>
    <row r="35" spans="1:8">
      <c r="A35" s="246">
        <v>9</v>
      </c>
      <c r="B35" s="270" t="s">
        <v>1099</v>
      </c>
      <c r="C35" s="265"/>
      <c r="D35" s="253"/>
      <c r="E35" s="267"/>
      <c r="F35" s="269">
        <f>F30+F32+F34</f>
        <v>6363.7388721738162</v>
      </c>
    </row>
    <row r="36" spans="1:8">
      <c r="A36" s="246"/>
      <c r="B36" s="270"/>
      <c r="C36" s="265"/>
      <c r="D36" s="253"/>
      <c r="E36" s="267"/>
      <c r="F36" s="269">
        <f>F31+F33+F34</f>
        <v>4797.344982122052</v>
      </c>
    </row>
    <row r="37" spans="1:8">
      <c r="A37" s="246">
        <v>10</v>
      </c>
      <c r="B37" s="270" t="s">
        <v>1098</v>
      </c>
      <c r="C37" s="265"/>
      <c r="D37" s="253"/>
      <c r="E37" s="268">
        <v>0.22</v>
      </c>
      <c r="F37" s="269">
        <f>F35*E37</f>
        <v>1400.0225518782395</v>
      </c>
    </row>
    <row r="38" spans="1:8">
      <c r="A38" s="246"/>
      <c r="B38" s="270"/>
      <c r="C38" s="265"/>
      <c r="D38" s="253"/>
      <c r="E38" s="268">
        <v>0.22</v>
      </c>
      <c r="F38" s="269">
        <f>F36*E38</f>
        <v>1055.4158960668515</v>
      </c>
    </row>
    <row r="39" spans="1:8">
      <c r="A39" s="246">
        <v>11</v>
      </c>
      <c r="B39" s="271" t="s">
        <v>1291</v>
      </c>
      <c r="C39" s="265"/>
      <c r="D39" s="265"/>
      <c r="E39" s="265" t="s">
        <v>1096</v>
      </c>
      <c r="F39" s="263">
        <f>F35+F37</f>
        <v>7763.7614240520561</v>
      </c>
    </row>
    <row r="40" spans="1:8">
      <c r="A40" s="272"/>
      <c r="B40" s="273"/>
      <c r="C40" s="272"/>
      <c r="D40" s="272"/>
      <c r="E40" s="272" t="s">
        <v>1095</v>
      </c>
      <c r="F40" s="274">
        <f>F36+F38</f>
        <v>5852.760878188903</v>
      </c>
    </row>
    <row r="41" spans="1:8">
      <c r="A41" s="236"/>
      <c r="B41" s="237"/>
      <c r="C41" s="236"/>
      <c r="D41" s="236"/>
      <c r="E41" s="236"/>
      <c r="F41" s="275"/>
    </row>
    <row r="42" spans="1:8">
      <c r="A42" s="236"/>
      <c r="B42" s="237"/>
      <c r="C42" s="236"/>
      <c r="D42" s="236"/>
      <c r="E42" s="236"/>
      <c r="F42" s="275"/>
    </row>
    <row r="43" spans="1:8">
      <c r="A43" s="236"/>
      <c r="B43" s="237"/>
      <c r="C43" s="236"/>
      <c r="D43" s="236"/>
      <c r="E43" s="236"/>
      <c r="F43" s="275"/>
    </row>
    <row r="44" spans="1:8">
      <c r="A44" s="236"/>
      <c r="B44" s="276" t="s">
        <v>1292</v>
      </c>
      <c r="C44" s="236"/>
      <c r="D44" s="236"/>
      <c r="E44" s="236"/>
      <c r="F44" s="275"/>
    </row>
    <row r="45" spans="1:8">
      <c r="A45" s="236"/>
      <c r="B45" s="237"/>
      <c r="C45" s="236"/>
      <c r="D45" s="236"/>
      <c r="E45" s="236"/>
      <c r="F45" s="275"/>
    </row>
  </sheetData>
  <mergeCells count="1">
    <mergeCell ref="A9:A22"/>
  </mergeCells>
  <pageMargins left="0.7" right="0.7" top="0.75" bottom="0.75" header="0.3" footer="0.3"/>
  <pageSetup paperSize="9" orientation="landscape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F4448-3DC9-554F-AFA8-B138D6978FC2}">
  <dimension ref="A1:H45"/>
  <sheetViews>
    <sheetView topLeftCell="A7" workbookViewId="0">
      <selection activeCell="F11" sqref="F11"/>
    </sheetView>
  </sheetViews>
  <sheetFormatPr baseColWidth="10" defaultColWidth="8.83203125" defaultRowHeight="15"/>
  <cols>
    <col min="1" max="1" width="3.5" style="241" bestFit="1" customWidth="1"/>
    <col min="2" max="2" width="51.5" style="277" customWidth="1"/>
    <col min="3" max="3" width="5.5" style="241" bestFit="1" customWidth="1"/>
    <col min="4" max="4" width="8.1640625" style="241" bestFit="1" customWidth="1"/>
    <col min="5" max="5" width="9" style="241" bestFit="1" customWidth="1"/>
    <col min="6" max="6" width="12.5" style="241" customWidth="1"/>
    <col min="7" max="7" width="7.6640625" style="240" customWidth="1"/>
    <col min="8" max="8" width="66.5" style="241" customWidth="1"/>
    <col min="9" max="256" width="8.83203125" style="241"/>
    <col min="257" max="257" width="3.5" style="241" bestFit="1" customWidth="1"/>
    <col min="258" max="258" width="38.5" style="241" customWidth="1"/>
    <col min="259" max="259" width="5.5" style="241" bestFit="1" customWidth="1"/>
    <col min="260" max="260" width="8.1640625" style="241" bestFit="1" customWidth="1"/>
    <col min="261" max="261" width="9" style="241" bestFit="1" customWidth="1"/>
    <col min="262" max="262" width="12.5" style="241" customWidth="1"/>
    <col min="263" max="512" width="8.83203125" style="241"/>
    <col min="513" max="513" width="3.5" style="241" bestFit="1" customWidth="1"/>
    <col min="514" max="514" width="38.5" style="241" customWidth="1"/>
    <col min="515" max="515" width="5.5" style="241" bestFit="1" customWidth="1"/>
    <col min="516" max="516" width="8.1640625" style="241" bestFit="1" customWidth="1"/>
    <col min="517" max="517" width="9" style="241" bestFit="1" customWidth="1"/>
    <col min="518" max="518" width="12.5" style="241" customWidth="1"/>
    <col min="519" max="768" width="8.83203125" style="241"/>
    <col min="769" max="769" width="3.5" style="241" bestFit="1" customWidth="1"/>
    <col min="770" max="770" width="38.5" style="241" customWidth="1"/>
    <col min="771" max="771" width="5.5" style="241" bestFit="1" customWidth="1"/>
    <col min="772" max="772" width="8.1640625" style="241" bestFit="1" customWidth="1"/>
    <col min="773" max="773" width="9" style="241" bestFit="1" customWidth="1"/>
    <col min="774" max="774" width="12.5" style="241" customWidth="1"/>
    <col min="775" max="1024" width="8.83203125" style="241"/>
    <col min="1025" max="1025" width="3.5" style="241" bestFit="1" customWidth="1"/>
    <col min="1026" max="1026" width="38.5" style="241" customWidth="1"/>
    <col min="1027" max="1027" width="5.5" style="241" bestFit="1" customWidth="1"/>
    <col min="1028" max="1028" width="8.1640625" style="241" bestFit="1" customWidth="1"/>
    <col min="1029" max="1029" width="9" style="241" bestFit="1" customWidth="1"/>
    <col min="1030" max="1030" width="12.5" style="241" customWidth="1"/>
    <col min="1031" max="1280" width="8.83203125" style="241"/>
    <col min="1281" max="1281" width="3.5" style="241" bestFit="1" customWidth="1"/>
    <col min="1282" max="1282" width="38.5" style="241" customWidth="1"/>
    <col min="1283" max="1283" width="5.5" style="241" bestFit="1" customWidth="1"/>
    <col min="1284" max="1284" width="8.1640625" style="241" bestFit="1" customWidth="1"/>
    <col min="1285" max="1285" width="9" style="241" bestFit="1" customWidth="1"/>
    <col min="1286" max="1286" width="12.5" style="241" customWidth="1"/>
    <col min="1287" max="1536" width="8.83203125" style="241"/>
    <col min="1537" max="1537" width="3.5" style="241" bestFit="1" customWidth="1"/>
    <col min="1538" max="1538" width="38.5" style="241" customWidth="1"/>
    <col min="1539" max="1539" width="5.5" style="241" bestFit="1" customWidth="1"/>
    <col min="1540" max="1540" width="8.1640625" style="241" bestFit="1" customWidth="1"/>
    <col min="1541" max="1541" width="9" style="241" bestFit="1" customWidth="1"/>
    <col min="1542" max="1542" width="12.5" style="241" customWidth="1"/>
    <col min="1543" max="1792" width="8.83203125" style="241"/>
    <col min="1793" max="1793" width="3.5" style="241" bestFit="1" customWidth="1"/>
    <col min="1794" max="1794" width="38.5" style="241" customWidth="1"/>
    <col min="1795" max="1795" width="5.5" style="241" bestFit="1" customWidth="1"/>
    <col min="1796" max="1796" width="8.1640625" style="241" bestFit="1" customWidth="1"/>
    <col min="1797" max="1797" width="9" style="241" bestFit="1" customWidth="1"/>
    <col min="1798" max="1798" width="12.5" style="241" customWidth="1"/>
    <col min="1799" max="2048" width="8.83203125" style="241"/>
    <col min="2049" max="2049" width="3.5" style="241" bestFit="1" customWidth="1"/>
    <col min="2050" max="2050" width="38.5" style="241" customWidth="1"/>
    <col min="2051" max="2051" width="5.5" style="241" bestFit="1" customWidth="1"/>
    <col min="2052" max="2052" width="8.1640625" style="241" bestFit="1" customWidth="1"/>
    <col min="2053" max="2053" width="9" style="241" bestFit="1" customWidth="1"/>
    <col min="2054" max="2054" width="12.5" style="241" customWidth="1"/>
    <col min="2055" max="2304" width="8.83203125" style="241"/>
    <col min="2305" max="2305" width="3.5" style="241" bestFit="1" customWidth="1"/>
    <col min="2306" max="2306" width="38.5" style="241" customWidth="1"/>
    <col min="2307" max="2307" width="5.5" style="241" bestFit="1" customWidth="1"/>
    <col min="2308" max="2308" width="8.1640625" style="241" bestFit="1" customWidth="1"/>
    <col min="2309" max="2309" width="9" style="241" bestFit="1" customWidth="1"/>
    <col min="2310" max="2310" width="12.5" style="241" customWidth="1"/>
    <col min="2311" max="2560" width="8.83203125" style="241"/>
    <col min="2561" max="2561" width="3.5" style="241" bestFit="1" customWidth="1"/>
    <col min="2562" max="2562" width="38.5" style="241" customWidth="1"/>
    <col min="2563" max="2563" width="5.5" style="241" bestFit="1" customWidth="1"/>
    <col min="2564" max="2564" width="8.1640625" style="241" bestFit="1" customWidth="1"/>
    <col min="2565" max="2565" width="9" style="241" bestFit="1" customWidth="1"/>
    <col min="2566" max="2566" width="12.5" style="241" customWidth="1"/>
    <col min="2567" max="2816" width="8.83203125" style="241"/>
    <col min="2817" max="2817" width="3.5" style="241" bestFit="1" customWidth="1"/>
    <col min="2818" max="2818" width="38.5" style="241" customWidth="1"/>
    <col min="2819" max="2819" width="5.5" style="241" bestFit="1" customWidth="1"/>
    <col min="2820" max="2820" width="8.1640625" style="241" bestFit="1" customWidth="1"/>
    <col min="2821" max="2821" width="9" style="241" bestFit="1" customWidth="1"/>
    <col min="2822" max="2822" width="12.5" style="241" customWidth="1"/>
    <col min="2823" max="3072" width="8.83203125" style="241"/>
    <col min="3073" max="3073" width="3.5" style="241" bestFit="1" customWidth="1"/>
    <col min="3074" max="3074" width="38.5" style="241" customWidth="1"/>
    <col min="3075" max="3075" width="5.5" style="241" bestFit="1" customWidth="1"/>
    <col min="3076" max="3076" width="8.1640625" style="241" bestFit="1" customWidth="1"/>
    <col min="3077" max="3077" width="9" style="241" bestFit="1" customWidth="1"/>
    <col min="3078" max="3078" width="12.5" style="241" customWidth="1"/>
    <col min="3079" max="3328" width="8.83203125" style="241"/>
    <col min="3329" max="3329" width="3.5" style="241" bestFit="1" customWidth="1"/>
    <col min="3330" max="3330" width="38.5" style="241" customWidth="1"/>
    <col min="3331" max="3331" width="5.5" style="241" bestFit="1" customWidth="1"/>
    <col min="3332" max="3332" width="8.1640625" style="241" bestFit="1" customWidth="1"/>
    <col min="3333" max="3333" width="9" style="241" bestFit="1" customWidth="1"/>
    <col min="3334" max="3334" width="12.5" style="241" customWidth="1"/>
    <col min="3335" max="3584" width="8.83203125" style="241"/>
    <col min="3585" max="3585" width="3.5" style="241" bestFit="1" customWidth="1"/>
    <col min="3586" max="3586" width="38.5" style="241" customWidth="1"/>
    <col min="3587" max="3587" width="5.5" style="241" bestFit="1" customWidth="1"/>
    <col min="3588" max="3588" width="8.1640625" style="241" bestFit="1" customWidth="1"/>
    <col min="3589" max="3589" width="9" style="241" bestFit="1" customWidth="1"/>
    <col min="3590" max="3590" width="12.5" style="241" customWidth="1"/>
    <col min="3591" max="3840" width="8.83203125" style="241"/>
    <col min="3841" max="3841" width="3.5" style="241" bestFit="1" customWidth="1"/>
    <col min="3842" max="3842" width="38.5" style="241" customWidth="1"/>
    <col min="3843" max="3843" width="5.5" style="241" bestFit="1" customWidth="1"/>
    <col min="3844" max="3844" width="8.1640625" style="241" bestFit="1" customWidth="1"/>
    <col min="3845" max="3845" width="9" style="241" bestFit="1" customWidth="1"/>
    <col min="3846" max="3846" width="12.5" style="241" customWidth="1"/>
    <col min="3847" max="4096" width="8.83203125" style="241"/>
    <col min="4097" max="4097" width="3.5" style="241" bestFit="1" customWidth="1"/>
    <col min="4098" max="4098" width="38.5" style="241" customWidth="1"/>
    <col min="4099" max="4099" width="5.5" style="241" bestFit="1" customWidth="1"/>
    <col min="4100" max="4100" width="8.1640625" style="241" bestFit="1" customWidth="1"/>
    <col min="4101" max="4101" width="9" style="241" bestFit="1" customWidth="1"/>
    <col min="4102" max="4102" width="12.5" style="241" customWidth="1"/>
    <col min="4103" max="4352" width="8.83203125" style="241"/>
    <col min="4353" max="4353" width="3.5" style="241" bestFit="1" customWidth="1"/>
    <col min="4354" max="4354" width="38.5" style="241" customWidth="1"/>
    <col min="4355" max="4355" width="5.5" style="241" bestFit="1" customWidth="1"/>
    <col min="4356" max="4356" width="8.1640625" style="241" bestFit="1" customWidth="1"/>
    <col min="4357" max="4357" width="9" style="241" bestFit="1" customWidth="1"/>
    <col min="4358" max="4358" width="12.5" style="241" customWidth="1"/>
    <col min="4359" max="4608" width="8.83203125" style="241"/>
    <col min="4609" max="4609" width="3.5" style="241" bestFit="1" customWidth="1"/>
    <col min="4610" max="4610" width="38.5" style="241" customWidth="1"/>
    <col min="4611" max="4611" width="5.5" style="241" bestFit="1" customWidth="1"/>
    <col min="4612" max="4612" width="8.1640625" style="241" bestFit="1" customWidth="1"/>
    <col min="4613" max="4613" width="9" style="241" bestFit="1" customWidth="1"/>
    <col min="4614" max="4614" width="12.5" style="241" customWidth="1"/>
    <col min="4615" max="4864" width="8.83203125" style="241"/>
    <col min="4865" max="4865" width="3.5" style="241" bestFit="1" customWidth="1"/>
    <col min="4866" max="4866" width="38.5" style="241" customWidth="1"/>
    <col min="4867" max="4867" width="5.5" style="241" bestFit="1" customWidth="1"/>
    <col min="4868" max="4868" width="8.1640625" style="241" bestFit="1" customWidth="1"/>
    <col min="4869" max="4869" width="9" style="241" bestFit="1" customWidth="1"/>
    <col min="4870" max="4870" width="12.5" style="241" customWidth="1"/>
    <col min="4871" max="5120" width="8.83203125" style="241"/>
    <col min="5121" max="5121" width="3.5" style="241" bestFit="1" customWidth="1"/>
    <col min="5122" max="5122" width="38.5" style="241" customWidth="1"/>
    <col min="5123" max="5123" width="5.5" style="241" bestFit="1" customWidth="1"/>
    <col min="5124" max="5124" width="8.1640625" style="241" bestFit="1" customWidth="1"/>
    <col min="5125" max="5125" width="9" style="241" bestFit="1" customWidth="1"/>
    <col min="5126" max="5126" width="12.5" style="241" customWidth="1"/>
    <col min="5127" max="5376" width="8.83203125" style="241"/>
    <col min="5377" max="5377" width="3.5" style="241" bestFit="1" customWidth="1"/>
    <col min="5378" max="5378" width="38.5" style="241" customWidth="1"/>
    <col min="5379" max="5379" width="5.5" style="241" bestFit="1" customWidth="1"/>
    <col min="5380" max="5380" width="8.1640625" style="241" bestFit="1" customWidth="1"/>
    <col min="5381" max="5381" width="9" style="241" bestFit="1" customWidth="1"/>
    <col min="5382" max="5382" width="12.5" style="241" customWidth="1"/>
    <col min="5383" max="5632" width="8.83203125" style="241"/>
    <col min="5633" max="5633" width="3.5" style="241" bestFit="1" customWidth="1"/>
    <col min="5634" max="5634" width="38.5" style="241" customWidth="1"/>
    <col min="5635" max="5635" width="5.5" style="241" bestFit="1" customWidth="1"/>
    <col min="5636" max="5636" width="8.1640625" style="241" bestFit="1" customWidth="1"/>
    <col min="5637" max="5637" width="9" style="241" bestFit="1" customWidth="1"/>
    <col min="5638" max="5638" width="12.5" style="241" customWidth="1"/>
    <col min="5639" max="5888" width="8.83203125" style="241"/>
    <col min="5889" max="5889" width="3.5" style="241" bestFit="1" customWidth="1"/>
    <col min="5890" max="5890" width="38.5" style="241" customWidth="1"/>
    <col min="5891" max="5891" width="5.5" style="241" bestFit="1" customWidth="1"/>
    <col min="5892" max="5892" width="8.1640625" style="241" bestFit="1" customWidth="1"/>
    <col min="5893" max="5893" width="9" style="241" bestFit="1" customWidth="1"/>
    <col min="5894" max="5894" width="12.5" style="241" customWidth="1"/>
    <col min="5895" max="6144" width="8.83203125" style="241"/>
    <col min="6145" max="6145" width="3.5" style="241" bestFit="1" customWidth="1"/>
    <col min="6146" max="6146" width="38.5" style="241" customWidth="1"/>
    <col min="6147" max="6147" width="5.5" style="241" bestFit="1" customWidth="1"/>
    <col min="6148" max="6148" width="8.1640625" style="241" bestFit="1" customWidth="1"/>
    <col min="6149" max="6149" width="9" style="241" bestFit="1" customWidth="1"/>
    <col min="6150" max="6150" width="12.5" style="241" customWidth="1"/>
    <col min="6151" max="6400" width="8.83203125" style="241"/>
    <col min="6401" max="6401" width="3.5" style="241" bestFit="1" customWidth="1"/>
    <col min="6402" max="6402" width="38.5" style="241" customWidth="1"/>
    <col min="6403" max="6403" width="5.5" style="241" bestFit="1" customWidth="1"/>
    <col min="6404" max="6404" width="8.1640625" style="241" bestFit="1" customWidth="1"/>
    <col min="6405" max="6405" width="9" style="241" bestFit="1" customWidth="1"/>
    <col min="6406" max="6406" width="12.5" style="241" customWidth="1"/>
    <col min="6407" max="6656" width="8.83203125" style="241"/>
    <col min="6657" max="6657" width="3.5" style="241" bestFit="1" customWidth="1"/>
    <col min="6658" max="6658" width="38.5" style="241" customWidth="1"/>
    <col min="6659" max="6659" width="5.5" style="241" bestFit="1" customWidth="1"/>
    <col min="6660" max="6660" width="8.1640625" style="241" bestFit="1" customWidth="1"/>
    <col min="6661" max="6661" width="9" style="241" bestFit="1" customWidth="1"/>
    <col min="6662" max="6662" width="12.5" style="241" customWidth="1"/>
    <col min="6663" max="6912" width="8.83203125" style="241"/>
    <col min="6913" max="6913" width="3.5" style="241" bestFit="1" customWidth="1"/>
    <col min="6914" max="6914" width="38.5" style="241" customWidth="1"/>
    <col min="6915" max="6915" width="5.5" style="241" bestFit="1" customWidth="1"/>
    <col min="6916" max="6916" width="8.1640625" style="241" bestFit="1" customWidth="1"/>
    <col min="6917" max="6917" width="9" style="241" bestFit="1" customWidth="1"/>
    <col min="6918" max="6918" width="12.5" style="241" customWidth="1"/>
    <col min="6919" max="7168" width="8.83203125" style="241"/>
    <col min="7169" max="7169" width="3.5" style="241" bestFit="1" customWidth="1"/>
    <col min="7170" max="7170" width="38.5" style="241" customWidth="1"/>
    <col min="7171" max="7171" width="5.5" style="241" bestFit="1" customWidth="1"/>
    <col min="7172" max="7172" width="8.1640625" style="241" bestFit="1" customWidth="1"/>
    <col min="7173" max="7173" width="9" style="241" bestFit="1" customWidth="1"/>
    <col min="7174" max="7174" width="12.5" style="241" customWidth="1"/>
    <col min="7175" max="7424" width="8.83203125" style="241"/>
    <col min="7425" max="7425" width="3.5" style="241" bestFit="1" customWidth="1"/>
    <col min="7426" max="7426" width="38.5" style="241" customWidth="1"/>
    <col min="7427" max="7427" width="5.5" style="241" bestFit="1" customWidth="1"/>
    <col min="7428" max="7428" width="8.1640625" style="241" bestFit="1" customWidth="1"/>
    <col min="7429" max="7429" width="9" style="241" bestFit="1" customWidth="1"/>
    <col min="7430" max="7430" width="12.5" style="241" customWidth="1"/>
    <col min="7431" max="7680" width="8.83203125" style="241"/>
    <col min="7681" max="7681" width="3.5" style="241" bestFit="1" customWidth="1"/>
    <col min="7682" max="7682" width="38.5" style="241" customWidth="1"/>
    <col min="7683" max="7683" width="5.5" style="241" bestFit="1" customWidth="1"/>
    <col min="7684" max="7684" width="8.1640625" style="241" bestFit="1" customWidth="1"/>
    <col min="7685" max="7685" width="9" style="241" bestFit="1" customWidth="1"/>
    <col min="7686" max="7686" width="12.5" style="241" customWidth="1"/>
    <col min="7687" max="7936" width="8.83203125" style="241"/>
    <col min="7937" max="7937" width="3.5" style="241" bestFit="1" customWidth="1"/>
    <col min="7938" max="7938" width="38.5" style="241" customWidth="1"/>
    <col min="7939" max="7939" width="5.5" style="241" bestFit="1" customWidth="1"/>
    <col min="7940" max="7940" width="8.1640625" style="241" bestFit="1" customWidth="1"/>
    <col min="7941" max="7941" width="9" style="241" bestFit="1" customWidth="1"/>
    <col min="7942" max="7942" width="12.5" style="241" customWidth="1"/>
    <col min="7943" max="8192" width="8.83203125" style="241"/>
    <col min="8193" max="8193" width="3.5" style="241" bestFit="1" customWidth="1"/>
    <col min="8194" max="8194" width="38.5" style="241" customWidth="1"/>
    <col min="8195" max="8195" width="5.5" style="241" bestFit="1" customWidth="1"/>
    <col min="8196" max="8196" width="8.1640625" style="241" bestFit="1" customWidth="1"/>
    <col min="8197" max="8197" width="9" style="241" bestFit="1" customWidth="1"/>
    <col min="8198" max="8198" width="12.5" style="241" customWidth="1"/>
    <col min="8199" max="8448" width="8.83203125" style="241"/>
    <col min="8449" max="8449" width="3.5" style="241" bestFit="1" customWidth="1"/>
    <col min="8450" max="8450" width="38.5" style="241" customWidth="1"/>
    <col min="8451" max="8451" width="5.5" style="241" bestFit="1" customWidth="1"/>
    <col min="8452" max="8452" width="8.1640625" style="241" bestFit="1" customWidth="1"/>
    <col min="8453" max="8453" width="9" style="241" bestFit="1" customWidth="1"/>
    <col min="8454" max="8454" width="12.5" style="241" customWidth="1"/>
    <col min="8455" max="8704" width="8.83203125" style="241"/>
    <col min="8705" max="8705" width="3.5" style="241" bestFit="1" customWidth="1"/>
    <col min="8706" max="8706" width="38.5" style="241" customWidth="1"/>
    <col min="8707" max="8707" width="5.5" style="241" bestFit="1" customWidth="1"/>
    <col min="8708" max="8708" width="8.1640625" style="241" bestFit="1" customWidth="1"/>
    <col min="8709" max="8709" width="9" style="241" bestFit="1" customWidth="1"/>
    <col min="8710" max="8710" width="12.5" style="241" customWidth="1"/>
    <col min="8711" max="8960" width="8.83203125" style="241"/>
    <col min="8961" max="8961" width="3.5" style="241" bestFit="1" customWidth="1"/>
    <col min="8962" max="8962" width="38.5" style="241" customWidth="1"/>
    <col min="8963" max="8963" width="5.5" style="241" bestFit="1" customWidth="1"/>
    <col min="8964" max="8964" width="8.1640625" style="241" bestFit="1" customWidth="1"/>
    <col min="8965" max="8965" width="9" style="241" bestFit="1" customWidth="1"/>
    <col min="8966" max="8966" width="12.5" style="241" customWidth="1"/>
    <col min="8967" max="9216" width="8.83203125" style="241"/>
    <col min="9217" max="9217" width="3.5" style="241" bestFit="1" customWidth="1"/>
    <col min="9218" max="9218" width="38.5" style="241" customWidth="1"/>
    <col min="9219" max="9219" width="5.5" style="241" bestFit="1" customWidth="1"/>
    <col min="9220" max="9220" width="8.1640625" style="241" bestFit="1" customWidth="1"/>
    <col min="9221" max="9221" width="9" style="241" bestFit="1" customWidth="1"/>
    <col min="9222" max="9222" width="12.5" style="241" customWidth="1"/>
    <col min="9223" max="9472" width="8.83203125" style="241"/>
    <col min="9473" max="9473" width="3.5" style="241" bestFit="1" customWidth="1"/>
    <col min="9474" max="9474" width="38.5" style="241" customWidth="1"/>
    <col min="9475" max="9475" width="5.5" style="241" bestFit="1" customWidth="1"/>
    <col min="9476" max="9476" width="8.1640625" style="241" bestFit="1" customWidth="1"/>
    <col min="9477" max="9477" width="9" style="241" bestFit="1" customWidth="1"/>
    <col min="9478" max="9478" width="12.5" style="241" customWidth="1"/>
    <col min="9479" max="9728" width="8.83203125" style="241"/>
    <col min="9729" max="9729" width="3.5" style="241" bestFit="1" customWidth="1"/>
    <col min="9730" max="9730" width="38.5" style="241" customWidth="1"/>
    <col min="9731" max="9731" width="5.5" style="241" bestFit="1" customWidth="1"/>
    <col min="9732" max="9732" width="8.1640625" style="241" bestFit="1" customWidth="1"/>
    <col min="9733" max="9733" width="9" style="241" bestFit="1" customWidth="1"/>
    <col min="9734" max="9734" width="12.5" style="241" customWidth="1"/>
    <col min="9735" max="9984" width="8.83203125" style="241"/>
    <col min="9985" max="9985" width="3.5" style="241" bestFit="1" customWidth="1"/>
    <col min="9986" max="9986" width="38.5" style="241" customWidth="1"/>
    <col min="9987" max="9987" width="5.5" style="241" bestFit="1" customWidth="1"/>
    <col min="9988" max="9988" width="8.1640625" style="241" bestFit="1" customWidth="1"/>
    <col min="9989" max="9989" width="9" style="241" bestFit="1" customWidth="1"/>
    <col min="9990" max="9990" width="12.5" style="241" customWidth="1"/>
    <col min="9991" max="10240" width="8.83203125" style="241"/>
    <col min="10241" max="10241" width="3.5" style="241" bestFit="1" customWidth="1"/>
    <col min="10242" max="10242" width="38.5" style="241" customWidth="1"/>
    <col min="10243" max="10243" width="5.5" style="241" bestFit="1" customWidth="1"/>
    <col min="10244" max="10244" width="8.1640625" style="241" bestFit="1" customWidth="1"/>
    <col min="10245" max="10245" width="9" style="241" bestFit="1" customWidth="1"/>
    <col min="10246" max="10246" width="12.5" style="241" customWidth="1"/>
    <col min="10247" max="10496" width="8.83203125" style="241"/>
    <col min="10497" max="10497" width="3.5" style="241" bestFit="1" customWidth="1"/>
    <col min="10498" max="10498" width="38.5" style="241" customWidth="1"/>
    <col min="10499" max="10499" width="5.5" style="241" bestFit="1" customWidth="1"/>
    <col min="10500" max="10500" width="8.1640625" style="241" bestFit="1" customWidth="1"/>
    <col min="10501" max="10501" width="9" style="241" bestFit="1" customWidth="1"/>
    <col min="10502" max="10502" width="12.5" style="241" customWidth="1"/>
    <col min="10503" max="10752" width="8.83203125" style="241"/>
    <col min="10753" max="10753" width="3.5" style="241" bestFit="1" customWidth="1"/>
    <col min="10754" max="10754" width="38.5" style="241" customWidth="1"/>
    <col min="10755" max="10755" width="5.5" style="241" bestFit="1" customWidth="1"/>
    <col min="10756" max="10756" width="8.1640625" style="241" bestFit="1" customWidth="1"/>
    <col min="10757" max="10757" width="9" style="241" bestFit="1" customWidth="1"/>
    <col min="10758" max="10758" width="12.5" style="241" customWidth="1"/>
    <col min="10759" max="11008" width="8.83203125" style="241"/>
    <col min="11009" max="11009" width="3.5" style="241" bestFit="1" customWidth="1"/>
    <col min="11010" max="11010" width="38.5" style="241" customWidth="1"/>
    <col min="11011" max="11011" width="5.5" style="241" bestFit="1" customWidth="1"/>
    <col min="11012" max="11012" width="8.1640625" style="241" bestFit="1" customWidth="1"/>
    <col min="11013" max="11013" width="9" style="241" bestFit="1" customWidth="1"/>
    <col min="11014" max="11014" width="12.5" style="241" customWidth="1"/>
    <col min="11015" max="11264" width="8.83203125" style="241"/>
    <col min="11265" max="11265" width="3.5" style="241" bestFit="1" customWidth="1"/>
    <col min="11266" max="11266" width="38.5" style="241" customWidth="1"/>
    <col min="11267" max="11267" width="5.5" style="241" bestFit="1" customWidth="1"/>
    <col min="11268" max="11268" width="8.1640625" style="241" bestFit="1" customWidth="1"/>
    <col min="11269" max="11269" width="9" style="241" bestFit="1" customWidth="1"/>
    <col min="11270" max="11270" width="12.5" style="241" customWidth="1"/>
    <col min="11271" max="11520" width="8.83203125" style="241"/>
    <col min="11521" max="11521" width="3.5" style="241" bestFit="1" customWidth="1"/>
    <col min="11522" max="11522" width="38.5" style="241" customWidth="1"/>
    <col min="11523" max="11523" width="5.5" style="241" bestFit="1" customWidth="1"/>
    <col min="11524" max="11524" width="8.1640625" style="241" bestFit="1" customWidth="1"/>
    <col min="11525" max="11525" width="9" style="241" bestFit="1" customWidth="1"/>
    <col min="11526" max="11526" width="12.5" style="241" customWidth="1"/>
    <col min="11527" max="11776" width="8.83203125" style="241"/>
    <col min="11777" max="11777" width="3.5" style="241" bestFit="1" customWidth="1"/>
    <col min="11778" max="11778" width="38.5" style="241" customWidth="1"/>
    <col min="11779" max="11779" width="5.5" style="241" bestFit="1" customWidth="1"/>
    <col min="11780" max="11780" width="8.1640625" style="241" bestFit="1" customWidth="1"/>
    <col min="11781" max="11781" width="9" style="241" bestFit="1" customWidth="1"/>
    <col min="11782" max="11782" width="12.5" style="241" customWidth="1"/>
    <col min="11783" max="12032" width="8.83203125" style="241"/>
    <col min="12033" max="12033" width="3.5" style="241" bestFit="1" customWidth="1"/>
    <col min="12034" max="12034" width="38.5" style="241" customWidth="1"/>
    <col min="12035" max="12035" width="5.5" style="241" bestFit="1" customWidth="1"/>
    <col min="12036" max="12036" width="8.1640625" style="241" bestFit="1" customWidth="1"/>
    <col min="12037" max="12037" width="9" style="241" bestFit="1" customWidth="1"/>
    <col min="12038" max="12038" width="12.5" style="241" customWidth="1"/>
    <col min="12039" max="12288" width="8.83203125" style="241"/>
    <col min="12289" max="12289" width="3.5" style="241" bestFit="1" customWidth="1"/>
    <col min="12290" max="12290" width="38.5" style="241" customWidth="1"/>
    <col min="12291" max="12291" width="5.5" style="241" bestFit="1" customWidth="1"/>
    <col min="12292" max="12292" width="8.1640625" style="241" bestFit="1" customWidth="1"/>
    <col min="12293" max="12293" width="9" style="241" bestFit="1" customWidth="1"/>
    <col min="12294" max="12294" width="12.5" style="241" customWidth="1"/>
    <col min="12295" max="12544" width="8.83203125" style="241"/>
    <col min="12545" max="12545" width="3.5" style="241" bestFit="1" customWidth="1"/>
    <col min="12546" max="12546" width="38.5" style="241" customWidth="1"/>
    <col min="12547" max="12547" width="5.5" style="241" bestFit="1" customWidth="1"/>
    <col min="12548" max="12548" width="8.1640625" style="241" bestFit="1" customWidth="1"/>
    <col min="12549" max="12549" width="9" style="241" bestFit="1" customWidth="1"/>
    <col min="12550" max="12550" width="12.5" style="241" customWidth="1"/>
    <col min="12551" max="12800" width="8.83203125" style="241"/>
    <col min="12801" max="12801" width="3.5" style="241" bestFit="1" customWidth="1"/>
    <col min="12802" max="12802" width="38.5" style="241" customWidth="1"/>
    <col min="12803" max="12803" width="5.5" style="241" bestFit="1" customWidth="1"/>
    <col min="12804" max="12804" width="8.1640625" style="241" bestFit="1" customWidth="1"/>
    <col min="12805" max="12805" width="9" style="241" bestFit="1" customWidth="1"/>
    <col min="12806" max="12806" width="12.5" style="241" customWidth="1"/>
    <col min="12807" max="13056" width="8.83203125" style="241"/>
    <col min="13057" max="13057" width="3.5" style="241" bestFit="1" customWidth="1"/>
    <col min="13058" max="13058" width="38.5" style="241" customWidth="1"/>
    <col min="13059" max="13059" width="5.5" style="241" bestFit="1" customWidth="1"/>
    <col min="13060" max="13060" width="8.1640625" style="241" bestFit="1" customWidth="1"/>
    <col min="13061" max="13061" width="9" style="241" bestFit="1" customWidth="1"/>
    <col min="13062" max="13062" width="12.5" style="241" customWidth="1"/>
    <col min="13063" max="13312" width="8.83203125" style="241"/>
    <col min="13313" max="13313" width="3.5" style="241" bestFit="1" customWidth="1"/>
    <col min="13314" max="13314" width="38.5" style="241" customWidth="1"/>
    <col min="13315" max="13315" width="5.5" style="241" bestFit="1" customWidth="1"/>
    <col min="13316" max="13316" width="8.1640625" style="241" bestFit="1" customWidth="1"/>
    <col min="13317" max="13317" width="9" style="241" bestFit="1" customWidth="1"/>
    <col min="13318" max="13318" width="12.5" style="241" customWidth="1"/>
    <col min="13319" max="13568" width="8.83203125" style="241"/>
    <col min="13569" max="13569" width="3.5" style="241" bestFit="1" customWidth="1"/>
    <col min="13570" max="13570" width="38.5" style="241" customWidth="1"/>
    <col min="13571" max="13571" width="5.5" style="241" bestFit="1" customWidth="1"/>
    <col min="13572" max="13572" width="8.1640625" style="241" bestFit="1" customWidth="1"/>
    <col min="13573" max="13573" width="9" style="241" bestFit="1" customWidth="1"/>
    <col min="13574" max="13574" width="12.5" style="241" customWidth="1"/>
    <col min="13575" max="13824" width="8.83203125" style="241"/>
    <col min="13825" max="13825" width="3.5" style="241" bestFit="1" customWidth="1"/>
    <col min="13826" max="13826" width="38.5" style="241" customWidth="1"/>
    <col min="13827" max="13827" width="5.5" style="241" bestFit="1" customWidth="1"/>
    <col min="13828" max="13828" width="8.1640625" style="241" bestFit="1" customWidth="1"/>
    <col min="13829" max="13829" width="9" style="241" bestFit="1" customWidth="1"/>
    <col min="13830" max="13830" width="12.5" style="241" customWidth="1"/>
    <col min="13831" max="14080" width="8.83203125" style="241"/>
    <col min="14081" max="14081" width="3.5" style="241" bestFit="1" customWidth="1"/>
    <col min="14082" max="14082" width="38.5" style="241" customWidth="1"/>
    <col min="14083" max="14083" width="5.5" style="241" bestFit="1" customWidth="1"/>
    <col min="14084" max="14084" width="8.1640625" style="241" bestFit="1" customWidth="1"/>
    <col min="14085" max="14085" width="9" style="241" bestFit="1" customWidth="1"/>
    <col min="14086" max="14086" width="12.5" style="241" customWidth="1"/>
    <col min="14087" max="14336" width="8.83203125" style="241"/>
    <col min="14337" max="14337" width="3.5" style="241" bestFit="1" customWidth="1"/>
    <col min="14338" max="14338" width="38.5" style="241" customWidth="1"/>
    <col min="14339" max="14339" width="5.5" style="241" bestFit="1" customWidth="1"/>
    <col min="14340" max="14340" width="8.1640625" style="241" bestFit="1" customWidth="1"/>
    <col min="14341" max="14341" width="9" style="241" bestFit="1" customWidth="1"/>
    <col min="14342" max="14342" width="12.5" style="241" customWidth="1"/>
    <col min="14343" max="14592" width="8.83203125" style="241"/>
    <col min="14593" max="14593" width="3.5" style="241" bestFit="1" customWidth="1"/>
    <col min="14594" max="14594" width="38.5" style="241" customWidth="1"/>
    <col min="14595" max="14595" width="5.5" style="241" bestFit="1" customWidth="1"/>
    <col min="14596" max="14596" width="8.1640625" style="241" bestFit="1" customWidth="1"/>
    <col min="14597" max="14597" width="9" style="241" bestFit="1" customWidth="1"/>
    <col min="14598" max="14598" width="12.5" style="241" customWidth="1"/>
    <col min="14599" max="14848" width="8.83203125" style="241"/>
    <col min="14849" max="14849" width="3.5" style="241" bestFit="1" customWidth="1"/>
    <col min="14850" max="14850" width="38.5" style="241" customWidth="1"/>
    <col min="14851" max="14851" width="5.5" style="241" bestFit="1" customWidth="1"/>
    <col min="14852" max="14852" width="8.1640625" style="241" bestFit="1" customWidth="1"/>
    <col min="14853" max="14853" width="9" style="241" bestFit="1" customWidth="1"/>
    <col min="14854" max="14854" width="12.5" style="241" customWidth="1"/>
    <col min="14855" max="15104" width="8.83203125" style="241"/>
    <col min="15105" max="15105" width="3.5" style="241" bestFit="1" customWidth="1"/>
    <col min="15106" max="15106" width="38.5" style="241" customWidth="1"/>
    <col min="15107" max="15107" width="5.5" style="241" bestFit="1" customWidth="1"/>
    <col min="15108" max="15108" width="8.1640625" style="241" bestFit="1" customWidth="1"/>
    <col min="15109" max="15109" width="9" style="241" bestFit="1" customWidth="1"/>
    <col min="15110" max="15110" width="12.5" style="241" customWidth="1"/>
    <col min="15111" max="15360" width="8.83203125" style="241"/>
    <col min="15361" max="15361" width="3.5" style="241" bestFit="1" customWidth="1"/>
    <col min="15362" max="15362" width="38.5" style="241" customWidth="1"/>
    <col min="15363" max="15363" width="5.5" style="241" bestFit="1" customWidth="1"/>
    <col min="15364" max="15364" width="8.1640625" style="241" bestFit="1" customWidth="1"/>
    <col min="15365" max="15365" width="9" style="241" bestFit="1" customWidth="1"/>
    <col min="15366" max="15366" width="12.5" style="241" customWidth="1"/>
    <col min="15367" max="15616" width="8.83203125" style="241"/>
    <col min="15617" max="15617" width="3.5" style="241" bestFit="1" customWidth="1"/>
    <col min="15618" max="15618" width="38.5" style="241" customWidth="1"/>
    <col min="15619" max="15619" width="5.5" style="241" bestFit="1" customWidth="1"/>
    <col min="15620" max="15620" width="8.1640625" style="241" bestFit="1" customWidth="1"/>
    <col min="15621" max="15621" width="9" style="241" bestFit="1" customWidth="1"/>
    <col min="15622" max="15622" width="12.5" style="241" customWidth="1"/>
    <col min="15623" max="15872" width="8.83203125" style="241"/>
    <col min="15873" max="15873" width="3.5" style="241" bestFit="1" customWidth="1"/>
    <col min="15874" max="15874" width="38.5" style="241" customWidth="1"/>
    <col min="15875" max="15875" width="5.5" style="241" bestFit="1" customWidth="1"/>
    <col min="15876" max="15876" width="8.1640625" style="241" bestFit="1" customWidth="1"/>
    <col min="15877" max="15877" width="9" style="241" bestFit="1" customWidth="1"/>
    <col min="15878" max="15878" width="12.5" style="241" customWidth="1"/>
    <col min="15879" max="16128" width="8.83203125" style="241"/>
    <col min="16129" max="16129" width="3.5" style="241" bestFit="1" customWidth="1"/>
    <col min="16130" max="16130" width="38.5" style="241" customWidth="1"/>
    <col min="16131" max="16131" width="5.5" style="241" bestFit="1" customWidth="1"/>
    <col min="16132" max="16132" width="8.1640625" style="241" bestFit="1" customWidth="1"/>
    <col min="16133" max="16133" width="9" style="241" bestFit="1" customWidth="1"/>
    <col min="16134" max="16134" width="12.5" style="241" customWidth="1"/>
    <col min="16135" max="16384" width="8.83203125" style="241"/>
  </cols>
  <sheetData>
    <row r="1" spans="1:8">
      <c r="A1" s="236"/>
      <c r="B1" s="237"/>
      <c r="C1" s="236"/>
      <c r="D1" s="236"/>
      <c r="E1" s="238"/>
      <c r="F1" s="239" t="s">
        <v>1161</v>
      </c>
    </row>
    <row r="2" spans="1:8">
      <c r="A2" s="236"/>
      <c r="B2" s="237"/>
      <c r="C2" s="236"/>
      <c r="D2" s="236"/>
      <c r="E2" s="238"/>
      <c r="F2" s="239" t="s">
        <v>1272</v>
      </c>
    </row>
    <row r="3" spans="1:8">
      <c r="A3" s="236"/>
      <c r="B3" s="237"/>
      <c r="C3" s="236"/>
      <c r="D3" s="236"/>
      <c r="E3" s="238"/>
      <c r="F3" s="239" t="s">
        <v>1159</v>
      </c>
    </row>
    <row r="4" spans="1:8">
      <c r="A4" s="236"/>
      <c r="B4" s="237"/>
      <c r="C4" s="236"/>
      <c r="D4" s="236"/>
      <c r="E4" s="238"/>
      <c r="F4" s="239" t="s">
        <v>1319</v>
      </c>
    </row>
    <row r="5" spans="1:8">
      <c r="A5" s="238"/>
      <c r="B5" s="242" t="s">
        <v>1157</v>
      </c>
      <c r="C5" s="238"/>
      <c r="D5" s="238"/>
      <c r="E5" s="238"/>
      <c r="F5" s="243" t="s">
        <v>1156</v>
      </c>
    </row>
    <row r="6" spans="1:8" ht="16">
      <c r="A6" s="238"/>
      <c r="B6" s="244" t="s">
        <v>1331</v>
      </c>
      <c r="C6" s="238"/>
      <c r="D6" s="238"/>
      <c r="E6" s="238"/>
      <c r="F6" s="245"/>
    </row>
    <row r="7" spans="1:8">
      <c r="A7" s="238"/>
      <c r="B7" s="242"/>
      <c r="C7" s="238"/>
      <c r="D7" s="238"/>
      <c r="E7" s="238"/>
      <c r="F7" s="245"/>
    </row>
    <row r="8" spans="1:8" ht="34">
      <c r="A8" s="246" t="s">
        <v>1154</v>
      </c>
      <c r="B8" s="247" t="s">
        <v>1153</v>
      </c>
      <c r="C8" s="248" t="s">
        <v>1275</v>
      </c>
      <c r="D8" s="248" t="s">
        <v>1276</v>
      </c>
      <c r="E8" s="248" t="s">
        <v>1277</v>
      </c>
      <c r="F8" s="249" t="s">
        <v>1278</v>
      </c>
      <c r="G8" s="250" t="s">
        <v>1279</v>
      </c>
      <c r="H8" s="251"/>
    </row>
    <row r="9" spans="1:8">
      <c r="A9" s="359">
        <v>1</v>
      </c>
      <c r="B9" s="252" t="s">
        <v>1321</v>
      </c>
      <c r="C9" s="253" t="s">
        <v>1290</v>
      </c>
      <c r="D9" s="253">
        <v>0.16900000000000001</v>
      </c>
      <c r="E9" s="254">
        <v>60.66</v>
      </c>
      <c r="F9" s="255">
        <f>IF(ISERROR(SEARCH("химия",B9)),D9*E9,D9*E9*G9/1000)</f>
        <v>10.25154</v>
      </c>
      <c r="G9" s="256" t="str">
        <f>IF(ISERROR(SEARCH("химия",B9)),IF(ISERROR(SEARCH("RAL",B9)),"","RAL"),5)</f>
        <v/>
      </c>
    </row>
    <row r="10" spans="1:8">
      <c r="A10" s="360"/>
      <c r="B10" s="252" t="s">
        <v>1322</v>
      </c>
      <c r="C10" s="253" t="s">
        <v>1290</v>
      </c>
      <c r="D10" s="253">
        <v>15.446</v>
      </c>
      <c r="E10" s="254">
        <v>61.48</v>
      </c>
      <c r="F10" s="255">
        <f>IF(ISERROR(SEARCH("химия",B10)),D10*E10,D10*E10*G10/1000)</f>
        <v>949.62007999999992</v>
      </c>
      <c r="G10" s="256" t="str">
        <f t="shared" ref="G10:G19" si="0">IF(ISERROR(SEARCH("химия",B10)),IF(ISERROR(SEARCH("RAL",B10)),"","RAL"),5)</f>
        <v/>
      </c>
    </row>
    <row r="11" spans="1:8">
      <c r="A11" s="360"/>
      <c r="B11" s="252" t="s">
        <v>1323</v>
      </c>
      <c r="C11" s="253" t="s">
        <v>1290</v>
      </c>
      <c r="D11" s="253">
        <v>0.78300000000000003</v>
      </c>
      <c r="E11" s="254">
        <v>379.82</v>
      </c>
      <c r="F11" s="255">
        <f>IF(ISERROR(SEARCH("химия",B11)),D11*E11,D11*E11*G11/1000)</f>
        <v>297.39906000000002</v>
      </c>
      <c r="G11" s="256">
        <v>350</v>
      </c>
    </row>
    <row r="12" spans="1:8">
      <c r="A12" s="360"/>
      <c r="B12" s="252" t="s">
        <v>1324</v>
      </c>
      <c r="C12" s="253" t="s">
        <v>1177</v>
      </c>
      <c r="D12" s="253">
        <v>2.0339999999999998</v>
      </c>
      <c r="E12" s="254">
        <v>0.52</v>
      </c>
      <c r="F12" s="255">
        <f>IF(ISERROR(SEARCH("химия",B12)),D12*E12,D12*E12*G12)</f>
        <v>5.2883999999999993</v>
      </c>
      <c r="G12" s="256">
        <f t="shared" si="0"/>
        <v>5</v>
      </c>
    </row>
    <row r="13" spans="1:8" ht="14.25" customHeight="1">
      <c r="A13" s="360"/>
      <c r="B13" s="252" t="s">
        <v>1325</v>
      </c>
      <c r="C13" s="253" t="s">
        <v>1284</v>
      </c>
      <c r="D13" s="253">
        <v>2</v>
      </c>
      <c r="E13" s="254">
        <v>1.22</v>
      </c>
      <c r="F13" s="255">
        <f>IF(ISERROR(SEARCH("химия",B13)),D13*E13,D13*E13*G13/1000)</f>
        <v>2.44</v>
      </c>
      <c r="G13" s="256" t="str">
        <f t="shared" si="0"/>
        <v/>
      </c>
    </row>
    <row r="14" spans="1:8">
      <c r="A14" s="360"/>
      <c r="B14" s="252" t="s">
        <v>1326</v>
      </c>
      <c r="C14" s="253" t="s">
        <v>1284</v>
      </c>
      <c r="D14" s="253">
        <v>2</v>
      </c>
      <c r="E14" s="254">
        <v>0.55000000000000004</v>
      </c>
      <c r="F14" s="255">
        <f t="shared" ref="F14:F19" si="1">IF(ISERROR(SEARCH("химия",B14)),D14*E14,D14*E14*G14/1000)</f>
        <v>1.1000000000000001</v>
      </c>
      <c r="G14" s="256" t="str">
        <f t="shared" si="0"/>
        <v/>
      </c>
    </row>
    <row r="15" spans="1:8" ht="15.75" customHeight="1">
      <c r="A15" s="360"/>
      <c r="B15" s="257" t="s">
        <v>1327</v>
      </c>
      <c r="C15" s="253" t="s">
        <v>1284</v>
      </c>
      <c r="D15" s="253">
        <v>2</v>
      </c>
      <c r="E15" s="254">
        <v>2.02</v>
      </c>
      <c r="F15" s="255">
        <f t="shared" si="1"/>
        <v>4.04</v>
      </c>
      <c r="G15" s="256" t="str">
        <f t="shared" si="0"/>
        <v/>
      </c>
      <c r="H15" s="258"/>
    </row>
    <row r="16" spans="1:8" ht="15.75" customHeight="1">
      <c r="A16" s="360"/>
      <c r="B16" s="257" t="s">
        <v>1332</v>
      </c>
      <c r="C16" s="253" t="s">
        <v>1284</v>
      </c>
      <c r="D16" s="253">
        <v>4</v>
      </c>
      <c r="E16" s="254">
        <v>0.25</v>
      </c>
      <c r="F16" s="255">
        <f t="shared" si="1"/>
        <v>1</v>
      </c>
      <c r="G16" s="256" t="str">
        <f t="shared" si="0"/>
        <v/>
      </c>
      <c r="H16" s="258"/>
    </row>
    <row r="17" spans="1:8" ht="15.75" customHeight="1">
      <c r="A17" s="360"/>
      <c r="B17" s="257" t="s">
        <v>1329</v>
      </c>
      <c r="C17" s="253" t="s">
        <v>1284</v>
      </c>
      <c r="D17" s="253">
        <v>1</v>
      </c>
      <c r="E17" s="254">
        <v>52.68</v>
      </c>
      <c r="F17" s="255">
        <f t="shared" si="1"/>
        <v>52.68</v>
      </c>
      <c r="G17" s="256" t="str">
        <f t="shared" si="0"/>
        <v/>
      </c>
      <c r="H17" s="258"/>
    </row>
    <row r="18" spans="1:8" ht="15.75" customHeight="1">
      <c r="A18" s="360"/>
      <c r="B18" s="257" t="s">
        <v>1197</v>
      </c>
      <c r="C18" s="253" t="s">
        <v>1284</v>
      </c>
      <c r="D18" s="253">
        <v>1</v>
      </c>
      <c r="E18" s="254">
        <v>454.1</v>
      </c>
      <c r="F18" s="255">
        <f>IF(ISERROR(SEARCH("химия",B18)),D18*E18,D18*E18*G18/1000)</f>
        <v>454.1</v>
      </c>
      <c r="G18" s="256" t="str">
        <f t="shared" si="0"/>
        <v/>
      </c>
      <c r="H18" s="258"/>
    </row>
    <row r="19" spans="1:8" ht="15.75" customHeight="1">
      <c r="A19" s="360"/>
      <c r="B19" s="257" t="s">
        <v>1186</v>
      </c>
      <c r="C19" s="253" t="s">
        <v>1284</v>
      </c>
      <c r="D19" s="253">
        <v>1</v>
      </c>
      <c r="E19" s="254">
        <v>6</v>
      </c>
      <c r="F19" s="255">
        <f t="shared" si="1"/>
        <v>6</v>
      </c>
      <c r="G19" s="256" t="str">
        <f t="shared" si="0"/>
        <v/>
      </c>
      <c r="H19" s="258"/>
    </row>
    <row r="20" spans="1:8">
      <c r="A20" s="360"/>
      <c r="B20" s="259" t="s">
        <v>1118</v>
      </c>
      <c r="C20" s="260"/>
      <c r="D20" s="261"/>
      <c r="E20" s="262"/>
      <c r="F20" s="263">
        <f>SUM(F9:F19)</f>
        <v>1783.9190799999997</v>
      </c>
    </row>
    <row r="21" spans="1:8">
      <c r="A21" s="360"/>
      <c r="B21" s="264" t="s">
        <v>1285</v>
      </c>
      <c r="C21" s="265"/>
      <c r="D21" s="253"/>
      <c r="E21" s="266">
        <v>0.01</v>
      </c>
      <c r="F21" s="255">
        <f>F20*E21</f>
        <v>17.839190799999997</v>
      </c>
    </row>
    <row r="22" spans="1:8">
      <c r="A22" s="361"/>
      <c r="B22" s="259" t="s">
        <v>1286</v>
      </c>
      <c r="C22" s="265"/>
      <c r="D22" s="253"/>
      <c r="E22" s="253"/>
      <c r="F22" s="263">
        <f>SUM(F20:F21)</f>
        <v>1801.7582707999998</v>
      </c>
    </row>
    <row r="23" spans="1:8">
      <c r="A23" s="246">
        <v>2</v>
      </c>
      <c r="B23" s="259" t="s">
        <v>1114</v>
      </c>
      <c r="C23" s="265"/>
      <c r="D23" s="253"/>
      <c r="E23" s="266">
        <v>0.14000000000000001</v>
      </c>
      <c r="F23" s="255">
        <f>F22*E23</f>
        <v>252.246157912</v>
      </c>
    </row>
    <row r="24" spans="1:8">
      <c r="A24" s="246"/>
      <c r="B24" s="264" t="s">
        <v>1113</v>
      </c>
      <c r="C24" s="265"/>
      <c r="D24" s="253"/>
      <c r="E24" s="266">
        <v>0.14000000000000001</v>
      </c>
      <c r="F24" s="255">
        <f>F23*E24</f>
        <v>35.314462107680001</v>
      </c>
    </row>
    <row r="25" spans="1:8">
      <c r="A25" s="246"/>
      <c r="B25" s="264" t="s">
        <v>1287</v>
      </c>
      <c r="C25" s="265"/>
      <c r="D25" s="253"/>
      <c r="E25" s="266"/>
      <c r="F25" s="255">
        <f>(F23+F24)*31.3%</f>
        <v>90.006474066159839</v>
      </c>
    </row>
    <row r="26" spans="1:8">
      <c r="A26" s="246">
        <v>3</v>
      </c>
      <c r="B26" s="259" t="s">
        <v>1109</v>
      </c>
      <c r="C26" s="265"/>
      <c r="D26" s="253"/>
      <c r="E26" s="266">
        <v>1.5</v>
      </c>
      <c r="F26" s="255">
        <f>F23*E26</f>
        <v>378.36923686800003</v>
      </c>
    </row>
    <row r="27" spans="1:8">
      <c r="A27" s="246">
        <v>4</v>
      </c>
      <c r="B27" s="259" t="s">
        <v>1107</v>
      </c>
      <c r="C27" s="265"/>
      <c r="D27" s="253"/>
      <c r="E27" s="267"/>
      <c r="F27" s="249">
        <f>F22+F23+F24+F25+F26</f>
        <v>2557.6946017538394</v>
      </c>
    </row>
    <row r="28" spans="1:8">
      <c r="A28" s="246">
        <v>5</v>
      </c>
      <c r="B28" s="259" t="s">
        <v>1105</v>
      </c>
      <c r="C28" s="265"/>
      <c r="D28" s="253"/>
      <c r="E28" s="268">
        <v>1</v>
      </c>
      <c r="F28" s="269">
        <f>F23*E28</f>
        <v>252.246157912</v>
      </c>
    </row>
    <row r="29" spans="1:8">
      <c r="A29" s="246"/>
      <c r="B29" s="259"/>
      <c r="C29" s="265"/>
      <c r="D29" s="253"/>
      <c r="E29" s="268">
        <v>0.8</v>
      </c>
      <c r="F29" s="269">
        <f>F23*E29</f>
        <v>201.79692632960001</v>
      </c>
    </row>
    <row r="30" spans="1:8">
      <c r="A30" s="246">
        <v>6</v>
      </c>
      <c r="B30" s="259" t="s">
        <v>1288</v>
      </c>
      <c r="C30" s="265"/>
      <c r="D30" s="253"/>
      <c r="E30" s="253"/>
      <c r="F30" s="269">
        <f>F27+F28</f>
        <v>2809.9407596658393</v>
      </c>
    </row>
    <row r="31" spans="1:8">
      <c r="A31" s="246"/>
      <c r="B31" s="259"/>
      <c r="C31" s="265"/>
      <c r="D31" s="253"/>
      <c r="E31" s="253"/>
      <c r="F31" s="269">
        <f>F27+F29</f>
        <v>2759.4915280834393</v>
      </c>
    </row>
    <row r="32" spans="1:8">
      <c r="A32" s="246">
        <v>7</v>
      </c>
      <c r="B32" s="259" t="s">
        <v>83</v>
      </c>
      <c r="C32" s="265"/>
      <c r="D32" s="253"/>
      <c r="E32" s="266">
        <v>0.4</v>
      </c>
      <c r="F32" s="269">
        <f>F30*E32</f>
        <v>1123.9763038663357</v>
      </c>
    </row>
    <row r="33" spans="1:8">
      <c r="A33" s="246"/>
      <c r="B33" s="259"/>
      <c r="C33" s="265"/>
      <c r="D33" s="253"/>
      <c r="E33" s="266">
        <v>7.0000000000000007E-2</v>
      </c>
      <c r="F33" s="269">
        <f>F31*E33</f>
        <v>193.16440696584078</v>
      </c>
    </row>
    <row r="34" spans="1:8">
      <c r="A34" s="246">
        <v>8</v>
      </c>
      <c r="B34" s="270" t="s">
        <v>1100</v>
      </c>
      <c r="C34" s="265"/>
      <c r="D34" s="253"/>
      <c r="E34" s="266"/>
      <c r="F34" s="269">
        <v>137</v>
      </c>
      <c r="H34" s="241" t="s">
        <v>1333</v>
      </c>
    </row>
    <row r="35" spans="1:8">
      <c r="A35" s="246">
        <v>9</v>
      </c>
      <c r="B35" s="270" t="s">
        <v>1099</v>
      </c>
      <c r="C35" s="265"/>
      <c r="D35" s="253"/>
      <c r="E35" s="267"/>
      <c r="F35" s="269">
        <f>F30+F32+F34</f>
        <v>4070.9170635321752</v>
      </c>
    </row>
    <row r="36" spans="1:8">
      <c r="A36" s="246"/>
      <c r="B36" s="270"/>
      <c r="C36" s="265"/>
      <c r="D36" s="253"/>
      <c r="E36" s="267"/>
      <c r="F36" s="269">
        <f>F31+F33+F34</f>
        <v>3089.6559350492803</v>
      </c>
    </row>
    <row r="37" spans="1:8">
      <c r="A37" s="246">
        <v>10</v>
      </c>
      <c r="B37" s="270" t="s">
        <v>1098</v>
      </c>
      <c r="C37" s="265"/>
      <c r="D37" s="253"/>
      <c r="E37" s="268">
        <v>0.22</v>
      </c>
      <c r="F37" s="269">
        <f>F35*E37</f>
        <v>895.6017539770786</v>
      </c>
    </row>
    <row r="38" spans="1:8">
      <c r="A38" s="246"/>
      <c r="B38" s="270"/>
      <c r="C38" s="265"/>
      <c r="D38" s="253"/>
      <c r="E38" s="268">
        <v>0.22</v>
      </c>
      <c r="F38" s="269">
        <f>F36*E38</f>
        <v>679.72430571084169</v>
      </c>
    </row>
    <row r="39" spans="1:8">
      <c r="A39" s="246">
        <v>11</v>
      </c>
      <c r="B39" s="271" t="s">
        <v>1291</v>
      </c>
      <c r="C39" s="265"/>
      <c r="D39" s="265"/>
      <c r="E39" s="265" t="s">
        <v>1096</v>
      </c>
      <c r="F39" s="263">
        <f>F35+F37</f>
        <v>4966.5188175092535</v>
      </c>
    </row>
    <row r="40" spans="1:8">
      <c r="A40" s="272"/>
      <c r="B40" s="273"/>
      <c r="C40" s="272"/>
      <c r="D40" s="272"/>
      <c r="E40" s="272" t="s">
        <v>1095</v>
      </c>
      <c r="F40" s="274">
        <f>F36+F38</f>
        <v>3769.380240760122</v>
      </c>
    </row>
    <row r="41" spans="1:8">
      <c r="A41" s="236"/>
      <c r="B41" s="237"/>
      <c r="C41" s="236"/>
      <c r="D41" s="236"/>
      <c r="E41" s="236"/>
      <c r="F41" s="275"/>
    </row>
    <row r="42" spans="1:8">
      <c r="A42" s="236"/>
      <c r="B42" s="237"/>
      <c r="C42" s="236"/>
      <c r="D42" s="236"/>
      <c r="E42" s="236"/>
      <c r="F42" s="275"/>
    </row>
    <row r="43" spans="1:8">
      <c r="A43" s="236"/>
      <c r="B43" s="237"/>
      <c r="C43" s="236"/>
      <c r="D43" s="236"/>
      <c r="E43" s="236"/>
      <c r="F43" s="275"/>
    </row>
    <row r="44" spans="1:8">
      <c r="A44" s="236"/>
      <c r="B44" s="276" t="s">
        <v>1292</v>
      </c>
      <c r="C44" s="236"/>
      <c r="D44" s="236"/>
      <c r="E44" s="236"/>
      <c r="F44" s="275"/>
    </row>
    <row r="45" spans="1:8">
      <c r="A45" s="236"/>
      <c r="B45" s="237"/>
      <c r="C45" s="236"/>
      <c r="D45" s="236"/>
      <c r="E45" s="236"/>
      <c r="F45" s="275"/>
    </row>
  </sheetData>
  <mergeCells count="1">
    <mergeCell ref="A9:A22"/>
  </mergeCells>
  <pageMargins left="0.7" right="0.7" top="0.75" bottom="0.75" header="0.3" footer="0.3"/>
  <pageSetup paperSize="9" orientation="landscape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E1292-6D87-B146-90A4-BC2E6F446686}">
  <dimension ref="A1:H46"/>
  <sheetViews>
    <sheetView topLeftCell="A2" workbookViewId="0">
      <selection activeCell="U36" sqref="U36"/>
    </sheetView>
  </sheetViews>
  <sheetFormatPr baseColWidth="10" defaultColWidth="8.83203125" defaultRowHeight="15"/>
  <cols>
    <col min="1" max="1" width="3.5" style="241" bestFit="1" customWidth="1"/>
    <col min="2" max="2" width="51.5" style="277" customWidth="1"/>
    <col min="3" max="3" width="5.5" style="241" bestFit="1" customWidth="1"/>
    <col min="4" max="4" width="8.1640625" style="241" bestFit="1" customWidth="1"/>
    <col min="5" max="5" width="9" style="241" bestFit="1" customWidth="1"/>
    <col min="6" max="6" width="12.5" style="241" customWidth="1"/>
    <col min="7" max="7" width="7.6640625" style="240" customWidth="1"/>
    <col min="8" max="8" width="66.5" style="241" customWidth="1"/>
    <col min="9" max="256" width="8.83203125" style="241"/>
    <col min="257" max="257" width="3.5" style="241" bestFit="1" customWidth="1"/>
    <col min="258" max="258" width="38.5" style="241" customWidth="1"/>
    <col min="259" max="259" width="5.5" style="241" bestFit="1" customWidth="1"/>
    <col min="260" max="260" width="8.1640625" style="241" bestFit="1" customWidth="1"/>
    <col min="261" max="261" width="9" style="241" bestFit="1" customWidth="1"/>
    <col min="262" max="262" width="12.5" style="241" customWidth="1"/>
    <col min="263" max="512" width="8.83203125" style="241"/>
    <col min="513" max="513" width="3.5" style="241" bestFit="1" customWidth="1"/>
    <col min="514" max="514" width="38.5" style="241" customWidth="1"/>
    <col min="515" max="515" width="5.5" style="241" bestFit="1" customWidth="1"/>
    <col min="516" max="516" width="8.1640625" style="241" bestFit="1" customWidth="1"/>
    <col min="517" max="517" width="9" style="241" bestFit="1" customWidth="1"/>
    <col min="518" max="518" width="12.5" style="241" customWidth="1"/>
    <col min="519" max="768" width="8.83203125" style="241"/>
    <col min="769" max="769" width="3.5" style="241" bestFit="1" customWidth="1"/>
    <col min="770" max="770" width="38.5" style="241" customWidth="1"/>
    <col min="771" max="771" width="5.5" style="241" bestFit="1" customWidth="1"/>
    <col min="772" max="772" width="8.1640625" style="241" bestFit="1" customWidth="1"/>
    <col min="773" max="773" width="9" style="241" bestFit="1" customWidth="1"/>
    <col min="774" max="774" width="12.5" style="241" customWidth="1"/>
    <col min="775" max="1024" width="8.83203125" style="241"/>
    <col min="1025" max="1025" width="3.5" style="241" bestFit="1" customWidth="1"/>
    <col min="1026" max="1026" width="38.5" style="241" customWidth="1"/>
    <col min="1027" max="1027" width="5.5" style="241" bestFit="1" customWidth="1"/>
    <col min="1028" max="1028" width="8.1640625" style="241" bestFit="1" customWidth="1"/>
    <col min="1029" max="1029" width="9" style="241" bestFit="1" customWidth="1"/>
    <col min="1030" max="1030" width="12.5" style="241" customWidth="1"/>
    <col min="1031" max="1280" width="8.83203125" style="241"/>
    <col min="1281" max="1281" width="3.5" style="241" bestFit="1" customWidth="1"/>
    <col min="1282" max="1282" width="38.5" style="241" customWidth="1"/>
    <col min="1283" max="1283" width="5.5" style="241" bestFit="1" customWidth="1"/>
    <col min="1284" max="1284" width="8.1640625" style="241" bestFit="1" customWidth="1"/>
    <col min="1285" max="1285" width="9" style="241" bestFit="1" customWidth="1"/>
    <col min="1286" max="1286" width="12.5" style="241" customWidth="1"/>
    <col min="1287" max="1536" width="8.83203125" style="241"/>
    <col min="1537" max="1537" width="3.5" style="241" bestFit="1" customWidth="1"/>
    <col min="1538" max="1538" width="38.5" style="241" customWidth="1"/>
    <col min="1539" max="1539" width="5.5" style="241" bestFit="1" customWidth="1"/>
    <col min="1540" max="1540" width="8.1640625" style="241" bestFit="1" customWidth="1"/>
    <col min="1541" max="1541" width="9" style="241" bestFit="1" customWidth="1"/>
    <col min="1542" max="1542" width="12.5" style="241" customWidth="1"/>
    <col min="1543" max="1792" width="8.83203125" style="241"/>
    <col min="1793" max="1793" width="3.5" style="241" bestFit="1" customWidth="1"/>
    <col min="1794" max="1794" width="38.5" style="241" customWidth="1"/>
    <col min="1795" max="1795" width="5.5" style="241" bestFit="1" customWidth="1"/>
    <col min="1796" max="1796" width="8.1640625" style="241" bestFit="1" customWidth="1"/>
    <col min="1797" max="1797" width="9" style="241" bestFit="1" customWidth="1"/>
    <col min="1798" max="1798" width="12.5" style="241" customWidth="1"/>
    <col min="1799" max="2048" width="8.83203125" style="241"/>
    <col min="2049" max="2049" width="3.5" style="241" bestFit="1" customWidth="1"/>
    <col min="2050" max="2050" width="38.5" style="241" customWidth="1"/>
    <col min="2051" max="2051" width="5.5" style="241" bestFit="1" customWidth="1"/>
    <col min="2052" max="2052" width="8.1640625" style="241" bestFit="1" customWidth="1"/>
    <col min="2053" max="2053" width="9" style="241" bestFit="1" customWidth="1"/>
    <col min="2054" max="2054" width="12.5" style="241" customWidth="1"/>
    <col min="2055" max="2304" width="8.83203125" style="241"/>
    <col min="2305" max="2305" width="3.5" style="241" bestFit="1" customWidth="1"/>
    <col min="2306" max="2306" width="38.5" style="241" customWidth="1"/>
    <col min="2307" max="2307" width="5.5" style="241" bestFit="1" customWidth="1"/>
    <col min="2308" max="2308" width="8.1640625" style="241" bestFit="1" customWidth="1"/>
    <col min="2309" max="2309" width="9" style="241" bestFit="1" customWidth="1"/>
    <col min="2310" max="2310" width="12.5" style="241" customWidth="1"/>
    <col min="2311" max="2560" width="8.83203125" style="241"/>
    <col min="2561" max="2561" width="3.5" style="241" bestFit="1" customWidth="1"/>
    <col min="2562" max="2562" width="38.5" style="241" customWidth="1"/>
    <col min="2563" max="2563" width="5.5" style="241" bestFit="1" customWidth="1"/>
    <col min="2564" max="2564" width="8.1640625" style="241" bestFit="1" customWidth="1"/>
    <col min="2565" max="2565" width="9" style="241" bestFit="1" customWidth="1"/>
    <col min="2566" max="2566" width="12.5" style="241" customWidth="1"/>
    <col min="2567" max="2816" width="8.83203125" style="241"/>
    <col min="2817" max="2817" width="3.5" style="241" bestFit="1" customWidth="1"/>
    <col min="2818" max="2818" width="38.5" style="241" customWidth="1"/>
    <col min="2819" max="2819" width="5.5" style="241" bestFit="1" customWidth="1"/>
    <col min="2820" max="2820" width="8.1640625" style="241" bestFit="1" customWidth="1"/>
    <col min="2821" max="2821" width="9" style="241" bestFit="1" customWidth="1"/>
    <col min="2822" max="2822" width="12.5" style="241" customWidth="1"/>
    <col min="2823" max="3072" width="8.83203125" style="241"/>
    <col min="3073" max="3073" width="3.5" style="241" bestFit="1" customWidth="1"/>
    <col min="3074" max="3074" width="38.5" style="241" customWidth="1"/>
    <col min="3075" max="3075" width="5.5" style="241" bestFit="1" customWidth="1"/>
    <col min="3076" max="3076" width="8.1640625" style="241" bestFit="1" customWidth="1"/>
    <col min="3077" max="3077" width="9" style="241" bestFit="1" customWidth="1"/>
    <col min="3078" max="3078" width="12.5" style="241" customWidth="1"/>
    <col min="3079" max="3328" width="8.83203125" style="241"/>
    <col min="3329" max="3329" width="3.5" style="241" bestFit="1" customWidth="1"/>
    <col min="3330" max="3330" width="38.5" style="241" customWidth="1"/>
    <col min="3331" max="3331" width="5.5" style="241" bestFit="1" customWidth="1"/>
    <col min="3332" max="3332" width="8.1640625" style="241" bestFit="1" customWidth="1"/>
    <col min="3333" max="3333" width="9" style="241" bestFit="1" customWidth="1"/>
    <col min="3334" max="3334" width="12.5" style="241" customWidth="1"/>
    <col min="3335" max="3584" width="8.83203125" style="241"/>
    <col min="3585" max="3585" width="3.5" style="241" bestFit="1" customWidth="1"/>
    <col min="3586" max="3586" width="38.5" style="241" customWidth="1"/>
    <col min="3587" max="3587" width="5.5" style="241" bestFit="1" customWidth="1"/>
    <col min="3588" max="3588" width="8.1640625" style="241" bestFit="1" customWidth="1"/>
    <col min="3589" max="3589" width="9" style="241" bestFit="1" customWidth="1"/>
    <col min="3590" max="3590" width="12.5" style="241" customWidth="1"/>
    <col min="3591" max="3840" width="8.83203125" style="241"/>
    <col min="3841" max="3841" width="3.5" style="241" bestFit="1" customWidth="1"/>
    <col min="3842" max="3842" width="38.5" style="241" customWidth="1"/>
    <col min="3843" max="3843" width="5.5" style="241" bestFit="1" customWidth="1"/>
    <col min="3844" max="3844" width="8.1640625" style="241" bestFit="1" customWidth="1"/>
    <col min="3845" max="3845" width="9" style="241" bestFit="1" customWidth="1"/>
    <col min="3846" max="3846" width="12.5" style="241" customWidth="1"/>
    <col min="3847" max="4096" width="8.83203125" style="241"/>
    <col min="4097" max="4097" width="3.5" style="241" bestFit="1" customWidth="1"/>
    <col min="4098" max="4098" width="38.5" style="241" customWidth="1"/>
    <col min="4099" max="4099" width="5.5" style="241" bestFit="1" customWidth="1"/>
    <col min="4100" max="4100" width="8.1640625" style="241" bestFit="1" customWidth="1"/>
    <col min="4101" max="4101" width="9" style="241" bestFit="1" customWidth="1"/>
    <col min="4102" max="4102" width="12.5" style="241" customWidth="1"/>
    <col min="4103" max="4352" width="8.83203125" style="241"/>
    <col min="4353" max="4353" width="3.5" style="241" bestFit="1" customWidth="1"/>
    <col min="4354" max="4354" width="38.5" style="241" customWidth="1"/>
    <col min="4355" max="4355" width="5.5" style="241" bestFit="1" customWidth="1"/>
    <col min="4356" max="4356" width="8.1640625" style="241" bestFit="1" customWidth="1"/>
    <col min="4357" max="4357" width="9" style="241" bestFit="1" customWidth="1"/>
    <col min="4358" max="4358" width="12.5" style="241" customWidth="1"/>
    <col min="4359" max="4608" width="8.83203125" style="241"/>
    <col min="4609" max="4609" width="3.5" style="241" bestFit="1" customWidth="1"/>
    <col min="4610" max="4610" width="38.5" style="241" customWidth="1"/>
    <col min="4611" max="4611" width="5.5" style="241" bestFit="1" customWidth="1"/>
    <col min="4612" max="4612" width="8.1640625" style="241" bestFit="1" customWidth="1"/>
    <col min="4613" max="4613" width="9" style="241" bestFit="1" customWidth="1"/>
    <col min="4614" max="4614" width="12.5" style="241" customWidth="1"/>
    <col min="4615" max="4864" width="8.83203125" style="241"/>
    <col min="4865" max="4865" width="3.5" style="241" bestFit="1" customWidth="1"/>
    <col min="4866" max="4866" width="38.5" style="241" customWidth="1"/>
    <col min="4867" max="4867" width="5.5" style="241" bestFit="1" customWidth="1"/>
    <col min="4868" max="4868" width="8.1640625" style="241" bestFit="1" customWidth="1"/>
    <col min="4869" max="4869" width="9" style="241" bestFit="1" customWidth="1"/>
    <col min="4870" max="4870" width="12.5" style="241" customWidth="1"/>
    <col min="4871" max="5120" width="8.83203125" style="241"/>
    <col min="5121" max="5121" width="3.5" style="241" bestFit="1" customWidth="1"/>
    <col min="5122" max="5122" width="38.5" style="241" customWidth="1"/>
    <col min="5123" max="5123" width="5.5" style="241" bestFit="1" customWidth="1"/>
    <col min="5124" max="5124" width="8.1640625" style="241" bestFit="1" customWidth="1"/>
    <col min="5125" max="5125" width="9" style="241" bestFit="1" customWidth="1"/>
    <col min="5126" max="5126" width="12.5" style="241" customWidth="1"/>
    <col min="5127" max="5376" width="8.83203125" style="241"/>
    <col min="5377" max="5377" width="3.5" style="241" bestFit="1" customWidth="1"/>
    <col min="5378" max="5378" width="38.5" style="241" customWidth="1"/>
    <col min="5379" max="5379" width="5.5" style="241" bestFit="1" customWidth="1"/>
    <col min="5380" max="5380" width="8.1640625" style="241" bestFit="1" customWidth="1"/>
    <col min="5381" max="5381" width="9" style="241" bestFit="1" customWidth="1"/>
    <col min="5382" max="5382" width="12.5" style="241" customWidth="1"/>
    <col min="5383" max="5632" width="8.83203125" style="241"/>
    <col min="5633" max="5633" width="3.5" style="241" bestFit="1" customWidth="1"/>
    <col min="5634" max="5634" width="38.5" style="241" customWidth="1"/>
    <col min="5635" max="5635" width="5.5" style="241" bestFit="1" customWidth="1"/>
    <col min="5636" max="5636" width="8.1640625" style="241" bestFit="1" customWidth="1"/>
    <col min="5637" max="5637" width="9" style="241" bestFit="1" customWidth="1"/>
    <col min="5638" max="5638" width="12.5" style="241" customWidth="1"/>
    <col min="5639" max="5888" width="8.83203125" style="241"/>
    <col min="5889" max="5889" width="3.5" style="241" bestFit="1" customWidth="1"/>
    <col min="5890" max="5890" width="38.5" style="241" customWidth="1"/>
    <col min="5891" max="5891" width="5.5" style="241" bestFit="1" customWidth="1"/>
    <col min="5892" max="5892" width="8.1640625" style="241" bestFit="1" customWidth="1"/>
    <col min="5893" max="5893" width="9" style="241" bestFit="1" customWidth="1"/>
    <col min="5894" max="5894" width="12.5" style="241" customWidth="1"/>
    <col min="5895" max="6144" width="8.83203125" style="241"/>
    <col min="6145" max="6145" width="3.5" style="241" bestFit="1" customWidth="1"/>
    <col min="6146" max="6146" width="38.5" style="241" customWidth="1"/>
    <col min="6147" max="6147" width="5.5" style="241" bestFit="1" customWidth="1"/>
    <col min="6148" max="6148" width="8.1640625" style="241" bestFit="1" customWidth="1"/>
    <col min="6149" max="6149" width="9" style="241" bestFit="1" customWidth="1"/>
    <col min="6150" max="6150" width="12.5" style="241" customWidth="1"/>
    <col min="6151" max="6400" width="8.83203125" style="241"/>
    <col min="6401" max="6401" width="3.5" style="241" bestFit="1" customWidth="1"/>
    <col min="6402" max="6402" width="38.5" style="241" customWidth="1"/>
    <col min="6403" max="6403" width="5.5" style="241" bestFit="1" customWidth="1"/>
    <col min="6404" max="6404" width="8.1640625" style="241" bestFit="1" customWidth="1"/>
    <col min="6405" max="6405" width="9" style="241" bestFit="1" customWidth="1"/>
    <col min="6406" max="6406" width="12.5" style="241" customWidth="1"/>
    <col min="6407" max="6656" width="8.83203125" style="241"/>
    <col min="6657" max="6657" width="3.5" style="241" bestFit="1" customWidth="1"/>
    <col min="6658" max="6658" width="38.5" style="241" customWidth="1"/>
    <col min="6659" max="6659" width="5.5" style="241" bestFit="1" customWidth="1"/>
    <col min="6660" max="6660" width="8.1640625" style="241" bestFit="1" customWidth="1"/>
    <col min="6661" max="6661" width="9" style="241" bestFit="1" customWidth="1"/>
    <col min="6662" max="6662" width="12.5" style="241" customWidth="1"/>
    <col min="6663" max="6912" width="8.83203125" style="241"/>
    <col min="6913" max="6913" width="3.5" style="241" bestFit="1" customWidth="1"/>
    <col min="6914" max="6914" width="38.5" style="241" customWidth="1"/>
    <col min="6915" max="6915" width="5.5" style="241" bestFit="1" customWidth="1"/>
    <col min="6916" max="6916" width="8.1640625" style="241" bestFit="1" customWidth="1"/>
    <col min="6917" max="6917" width="9" style="241" bestFit="1" customWidth="1"/>
    <col min="6918" max="6918" width="12.5" style="241" customWidth="1"/>
    <col min="6919" max="7168" width="8.83203125" style="241"/>
    <col min="7169" max="7169" width="3.5" style="241" bestFit="1" customWidth="1"/>
    <col min="7170" max="7170" width="38.5" style="241" customWidth="1"/>
    <col min="7171" max="7171" width="5.5" style="241" bestFit="1" customWidth="1"/>
    <col min="7172" max="7172" width="8.1640625" style="241" bestFit="1" customWidth="1"/>
    <col min="7173" max="7173" width="9" style="241" bestFit="1" customWidth="1"/>
    <col min="7174" max="7174" width="12.5" style="241" customWidth="1"/>
    <col min="7175" max="7424" width="8.83203125" style="241"/>
    <col min="7425" max="7425" width="3.5" style="241" bestFit="1" customWidth="1"/>
    <col min="7426" max="7426" width="38.5" style="241" customWidth="1"/>
    <col min="7427" max="7427" width="5.5" style="241" bestFit="1" customWidth="1"/>
    <col min="7428" max="7428" width="8.1640625" style="241" bestFit="1" customWidth="1"/>
    <col min="7429" max="7429" width="9" style="241" bestFit="1" customWidth="1"/>
    <col min="7430" max="7430" width="12.5" style="241" customWidth="1"/>
    <col min="7431" max="7680" width="8.83203125" style="241"/>
    <col min="7681" max="7681" width="3.5" style="241" bestFit="1" customWidth="1"/>
    <col min="7682" max="7682" width="38.5" style="241" customWidth="1"/>
    <col min="7683" max="7683" width="5.5" style="241" bestFit="1" customWidth="1"/>
    <col min="7684" max="7684" width="8.1640625" style="241" bestFit="1" customWidth="1"/>
    <col min="7685" max="7685" width="9" style="241" bestFit="1" customWidth="1"/>
    <col min="7686" max="7686" width="12.5" style="241" customWidth="1"/>
    <col min="7687" max="7936" width="8.83203125" style="241"/>
    <col min="7937" max="7937" width="3.5" style="241" bestFit="1" customWidth="1"/>
    <col min="7938" max="7938" width="38.5" style="241" customWidth="1"/>
    <col min="7939" max="7939" width="5.5" style="241" bestFit="1" customWidth="1"/>
    <col min="7940" max="7940" width="8.1640625" style="241" bestFit="1" customWidth="1"/>
    <col min="7941" max="7941" width="9" style="241" bestFit="1" customWidth="1"/>
    <col min="7942" max="7942" width="12.5" style="241" customWidth="1"/>
    <col min="7943" max="8192" width="8.83203125" style="241"/>
    <col min="8193" max="8193" width="3.5" style="241" bestFit="1" customWidth="1"/>
    <col min="8194" max="8194" width="38.5" style="241" customWidth="1"/>
    <col min="8195" max="8195" width="5.5" style="241" bestFit="1" customWidth="1"/>
    <col min="8196" max="8196" width="8.1640625" style="241" bestFit="1" customWidth="1"/>
    <col min="8197" max="8197" width="9" style="241" bestFit="1" customWidth="1"/>
    <col min="8198" max="8198" width="12.5" style="241" customWidth="1"/>
    <col min="8199" max="8448" width="8.83203125" style="241"/>
    <col min="8449" max="8449" width="3.5" style="241" bestFit="1" customWidth="1"/>
    <col min="8450" max="8450" width="38.5" style="241" customWidth="1"/>
    <col min="8451" max="8451" width="5.5" style="241" bestFit="1" customWidth="1"/>
    <col min="8452" max="8452" width="8.1640625" style="241" bestFit="1" customWidth="1"/>
    <col min="8453" max="8453" width="9" style="241" bestFit="1" customWidth="1"/>
    <col min="8454" max="8454" width="12.5" style="241" customWidth="1"/>
    <col min="8455" max="8704" width="8.83203125" style="241"/>
    <col min="8705" max="8705" width="3.5" style="241" bestFit="1" customWidth="1"/>
    <col min="8706" max="8706" width="38.5" style="241" customWidth="1"/>
    <col min="8707" max="8707" width="5.5" style="241" bestFit="1" customWidth="1"/>
    <col min="8708" max="8708" width="8.1640625" style="241" bestFit="1" customWidth="1"/>
    <col min="8709" max="8709" width="9" style="241" bestFit="1" customWidth="1"/>
    <col min="8710" max="8710" width="12.5" style="241" customWidth="1"/>
    <col min="8711" max="8960" width="8.83203125" style="241"/>
    <col min="8961" max="8961" width="3.5" style="241" bestFit="1" customWidth="1"/>
    <col min="8962" max="8962" width="38.5" style="241" customWidth="1"/>
    <col min="8963" max="8963" width="5.5" style="241" bestFit="1" customWidth="1"/>
    <col min="8964" max="8964" width="8.1640625" style="241" bestFit="1" customWidth="1"/>
    <col min="8965" max="8965" width="9" style="241" bestFit="1" customWidth="1"/>
    <col min="8966" max="8966" width="12.5" style="241" customWidth="1"/>
    <col min="8967" max="9216" width="8.83203125" style="241"/>
    <col min="9217" max="9217" width="3.5" style="241" bestFit="1" customWidth="1"/>
    <col min="9218" max="9218" width="38.5" style="241" customWidth="1"/>
    <col min="9219" max="9219" width="5.5" style="241" bestFit="1" customWidth="1"/>
    <col min="9220" max="9220" width="8.1640625" style="241" bestFit="1" customWidth="1"/>
    <col min="9221" max="9221" width="9" style="241" bestFit="1" customWidth="1"/>
    <col min="9222" max="9222" width="12.5" style="241" customWidth="1"/>
    <col min="9223" max="9472" width="8.83203125" style="241"/>
    <col min="9473" max="9473" width="3.5" style="241" bestFit="1" customWidth="1"/>
    <col min="9474" max="9474" width="38.5" style="241" customWidth="1"/>
    <col min="9475" max="9475" width="5.5" style="241" bestFit="1" customWidth="1"/>
    <col min="9476" max="9476" width="8.1640625" style="241" bestFit="1" customWidth="1"/>
    <col min="9477" max="9477" width="9" style="241" bestFit="1" customWidth="1"/>
    <col min="9478" max="9478" width="12.5" style="241" customWidth="1"/>
    <col min="9479" max="9728" width="8.83203125" style="241"/>
    <col min="9729" max="9729" width="3.5" style="241" bestFit="1" customWidth="1"/>
    <col min="9730" max="9730" width="38.5" style="241" customWidth="1"/>
    <col min="9731" max="9731" width="5.5" style="241" bestFit="1" customWidth="1"/>
    <col min="9732" max="9732" width="8.1640625" style="241" bestFit="1" customWidth="1"/>
    <col min="9733" max="9733" width="9" style="241" bestFit="1" customWidth="1"/>
    <col min="9734" max="9734" width="12.5" style="241" customWidth="1"/>
    <col min="9735" max="9984" width="8.83203125" style="241"/>
    <col min="9985" max="9985" width="3.5" style="241" bestFit="1" customWidth="1"/>
    <col min="9986" max="9986" width="38.5" style="241" customWidth="1"/>
    <col min="9987" max="9987" width="5.5" style="241" bestFit="1" customWidth="1"/>
    <col min="9988" max="9988" width="8.1640625" style="241" bestFit="1" customWidth="1"/>
    <col min="9989" max="9989" width="9" style="241" bestFit="1" customWidth="1"/>
    <col min="9990" max="9990" width="12.5" style="241" customWidth="1"/>
    <col min="9991" max="10240" width="8.83203125" style="241"/>
    <col min="10241" max="10241" width="3.5" style="241" bestFit="1" customWidth="1"/>
    <col min="10242" max="10242" width="38.5" style="241" customWidth="1"/>
    <col min="10243" max="10243" width="5.5" style="241" bestFit="1" customWidth="1"/>
    <col min="10244" max="10244" width="8.1640625" style="241" bestFit="1" customWidth="1"/>
    <col min="10245" max="10245" width="9" style="241" bestFit="1" customWidth="1"/>
    <col min="10246" max="10246" width="12.5" style="241" customWidth="1"/>
    <col min="10247" max="10496" width="8.83203125" style="241"/>
    <col min="10497" max="10497" width="3.5" style="241" bestFit="1" customWidth="1"/>
    <col min="10498" max="10498" width="38.5" style="241" customWidth="1"/>
    <col min="10499" max="10499" width="5.5" style="241" bestFit="1" customWidth="1"/>
    <col min="10500" max="10500" width="8.1640625" style="241" bestFit="1" customWidth="1"/>
    <col min="10501" max="10501" width="9" style="241" bestFit="1" customWidth="1"/>
    <col min="10502" max="10502" width="12.5" style="241" customWidth="1"/>
    <col min="10503" max="10752" width="8.83203125" style="241"/>
    <col min="10753" max="10753" width="3.5" style="241" bestFit="1" customWidth="1"/>
    <col min="10754" max="10754" width="38.5" style="241" customWidth="1"/>
    <col min="10755" max="10755" width="5.5" style="241" bestFit="1" customWidth="1"/>
    <col min="10756" max="10756" width="8.1640625" style="241" bestFit="1" customWidth="1"/>
    <col min="10757" max="10757" width="9" style="241" bestFit="1" customWidth="1"/>
    <col min="10758" max="10758" width="12.5" style="241" customWidth="1"/>
    <col min="10759" max="11008" width="8.83203125" style="241"/>
    <col min="11009" max="11009" width="3.5" style="241" bestFit="1" customWidth="1"/>
    <col min="11010" max="11010" width="38.5" style="241" customWidth="1"/>
    <col min="11011" max="11011" width="5.5" style="241" bestFit="1" customWidth="1"/>
    <col min="11012" max="11012" width="8.1640625" style="241" bestFit="1" customWidth="1"/>
    <col min="11013" max="11013" width="9" style="241" bestFit="1" customWidth="1"/>
    <col min="11014" max="11014" width="12.5" style="241" customWidth="1"/>
    <col min="11015" max="11264" width="8.83203125" style="241"/>
    <col min="11265" max="11265" width="3.5" style="241" bestFit="1" customWidth="1"/>
    <col min="11266" max="11266" width="38.5" style="241" customWidth="1"/>
    <col min="11267" max="11267" width="5.5" style="241" bestFit="1" customWidth="1"/>
    <col min="11268" max="11268" width="8.1640625" style="241" bestFit="1" customWidth="1"/>
    <col min="11269" max="11269" width="9" style="241" bestFit="1" customWidth="1"/>
    <col min="11270" max="11270" width="12.5" style="241" customWidth="1"/>
    <col min="11271" max="11520" width="8.83203125" style="241"/>
    <col min="11521" max="11521" width="3.5" style="241" bestFit="1" customWidth="1"/>
    <col min="11522" max="11522" width="38.5" style="241" customWidth="1"/>
    <col min="11523" max="11523" width="5.5" style="241" bestFit="1" customWidth="1"/>
    <col min="11524" max="11524" width="8.1640625" style="241" bestFit="1" customWidth="1"/>
    <col min="11525" max="11525" width="9" style="241" bestFit="1" customWidth="1"/>
    <col min="11526" max="11526" width="12.5" style="241" customWidth="1"/>
    <col min="11527" max="11776" width="8.83203125" style="241"/>
    <col min="11777" max="11777" width="3.5" style="241" bestFit="1" customWidth="1"/>
    <col min="11778" max="11778" width="38.5" style="241" customWidth="1"/>
    <col min="11779" max="11779" width="5.5" style="241" bestFit="1" customWidth="1"/>
    <col min="11780" max="11780" width="8.1640625" style="241" bestFit="1" customWidth="1"/>
    <col min="11781" max="11781" width="9" style="241" bestFit="1" customWidth="1"/>
    <col min="11782" max="11782" width="12.5" style="241" customWidth="1"/>
    <col min="11783" max="12032" width="8.83203125" style="241"/>
    <col min="12033" max="12033" width="3.5" style="241" bestFit="1" customWidth="1"/>
    <col min="12034" max="12034" width="38.5" style="241" customWidth="1"/>
    <col min="12035" max="12035" width="5.5" style="241" bestFit="1" customWidth="1"/>
    <col min="12036" max="12036" width="8.1640625" style="241" bestFit="1" customWidth="1"/>
    <col min="12037" max="12037" width="9" style="241" bestFit="1" customWidth="1"/>
    <col min="12038" max="12038" width="12.5" style="241" customWidth="1"/>
    <col min="12039" max="12288" width="8.83203125" style="241"/>
    <col min="12289" max="12289" width="3.5" style="241" bestFit="1" customWidth="1"/>
    <col min="12290" max="12290" width="38.5" style="241" customWidth="1"/>
    <col min="12291" max="12291" width="5.5" style="241" bestFit="1" customWidth="1"/>
    <col min="12292" max="12292" width="8.1640625" style="241" bestFit="1" customWidth="1"/>
    <col min="12293" max="12293" width="9" style="241" bestFit="1" customWidth="1"/>
    <col min="12294" max="12294" width="12.5" style="241" customWidth="1"/>
    <col min="12295" max="12544" width="8.83203125" style="241"/>
    <col min="12545" max="12545" width="3.5" style="241" bestFit="1" customWidth="1"/>
    <col min="12546" max="12546" width="38.5" style="241" customWidth="1"/>
    <col min="12547" max="12547" width="5.5" style="241" bestFit="1" customWidth="1"/>
    <col min="12548" max="12548" width="8.1640625" style="241" bestFit="1" customWidth="1"/>
    <col min="12549" max="12549" width="9" style="241" bestFit="1" customWidth="1"/>
    <col min="12550" max="12550" width="12.5" style="241" customWidth="1"/>
    <col min="12551" max="12800" width="8.83203125" style="241"/>
    <col min="12801" max="12801" width="3.5" style="241" bestFit="1" customWidth="1"/>
    <col min="12802" max="12802" width="38.5" style="241" customWidth="1"/>
    <col min="12803" max="12803" width="5.5" style="241" bestFit="1" customWidth="1"/>
    <col min="12804" max="12804" width="8.1640625" style="241" bestFit="1" customWidth="1"/>
    <col min="12805" max="12805" width="9" style="241" bestFit="1" customWidth="1"/>
    <col min="12806" max="12806" width="12.5" style="241" customWidth="1"/>
    <col min="12807" max="13056" width="8.83203125" style="241"/>
    <col min="13057" max="13057" width="3.5" style="241" bestFit="1" customWidth="1"/>
    <col min="13058" max="13058" width="38.5" style="241" customWidth="1"/>
    <col min="13059" max="13059" width="5.5" style="241" bestFit="1" customWidth="1"/>
    <col min="13060" max="13060" width="8.1640625" style="241" bestFit="1" customWidth="1"/>
    <col min="13061" max="13061" width="9" style="241" bestFit="1" customWidth="1"/>
    <col min="13062" max="13062" width="12.5" style="241" customWidth="1"/>
    <col min="13063" max="13312" width="8.83203125" style="241"/>
    <col min="13313" max="13313" width="3.5" style="241" bestFit="1" customWidth="1"/>
    <col min="13314" max="13314" width="38.5" style="241" customWidth="1"/>
    <col min="13315" max="13315" width="5.5" style="241" bestFit="1" customWidth="1"/>
    <col min="13316" max="13316" width="8.1640625" style="241" bestFit="1" customWidth="1"/>
    <col min="13317" max="13317" width="9" style="241" bestFit="1" customWidth="1"/>
    <col min="13318" max="13318" width="12.5" style="241" customWidth="1"/>
    <col min="13319" max="13568" width="8.83203125" style="241"/>
    <col min="13569" max="13569" width="3.5" style="241" bestFit="1" customWidth="1"/>
    <col min="13570" max="13570" width="38.5" style="241" customWidth="1"/>
    <col min="13571" max="13571" width="5.5" style="241" bestFit="1" customWidth="1"/>
    <col min="13572" max="13572" width="8.1640625" style="241" bestFit="1" customWidth="1"/>
    <col min="13573" max="13573" width="9" style="241" bestFit="1" customWidth="1"/>
    <col min="13574" max="13574" width="12.5" style="241" customWidth="1"/>
    <col min="13575" max="13824" width="8.83203125" style="241"/>
    <col min="13825" max="13825" width="3.5" style="241" bestFit="1" customWidth="1"/>
    <col min="13826" max="13826" width="38.5" style="241" customWidth="1"/>
    <col min="13827" max="13827" width="5.5" style="241" bestFit="1" customWidth="1"/>
    <col min="13828" max="13828" width="8.1640625" style="241" bestFit="1" customWidth="1"/>
    <col min="13829" max="13829" width="9" style="241" bestFit="1" customWidth="1"/>
    <col min="13830" max="13830" width="12.5" style="241" customWidth="1"/>
    <col min="13831" max="14080" width="8.83203125" style="241"/>
    <col min="14081" max="14081" width="3.5" style="241" bestFit="1" customWidth="1"/>
    <col min="14082" max="14082" width="38.5" style="241" customWidth="1"/>
    <col min="14083" max="14083" width="5.5" style="241" bestFit="1" customWidth="1"/>
    <col min="14084" max="14084" width="8.1640625" style="241" bestFit="1" customWidth="1"/>
    <col min="14085" max="14085" width="9" style="241" bestFit="1" customWidth="1"/>
    <col min="14086" max="14086" width="12.5" style="241" customWidth="1"/>
    <col min="14087" max="14336" width="8.83203125" style="241"/>
    <col min="14337" max="14337" width="3.5" style="241" bestFit="1" customWidth="1"/>
    <col min="14338" max="14338" width="38.5" style="241" customWidth="1"/>
    <col min="14339" max="14339" width="5.5" style="241" bestFit="1" customWidth="1"/>
    <col min="14340" max="14340" width="8.1640625" style="241" bestFit="1" customWidth="1"/>
    <col min="14341" max="14341" width="9" style="241" bestFit="1" customWidth="1"/>
    <col min="14342" max="14342" width="12.5" style="241" customWidth="1"/>
    <col min="14343" max="14592" width="8.83203125" style="241"/>
    <col min="14593" max="14593" width="3.5" style="241" bestFit="1" customWidth="1"/>
    <col min="14594" max="14594" width="38.5" style="241" customWidth="1"/>
    <col min="14595" max="14595" width="5.5" style="241" bestFit="1" customWidth="1"/>
    <col min="14596" max="14596" width="8.1640625" style="241" bestFit="1" customWidth="1"/>
    <col min="14597" max="14597" width="9" style="241" bestFit="1" customWidth="1"/>
    <col min="14598" max="14598" width="12.5" style="241" customWidth="1"/>
    <col min="14599" max="14848" width="8.83203125" style="241"/>
    <col min="14849" max="14849" width="3.5" style="241" bestFit="1" customWidth="1"/>
    <col min="14850" max="14850" width="38.5" style="241" customWidth="1"/>
    <col min="14851" max="14851" width="5.5" style="241" bestFit="1" customWidth="1"/>
    <col min="14852" max="14852" width="8.1640625" style="241" bestFit="1" customWidth="1"/>
    <col min="14853" max="14853" width="9" style="241" bestFit="1" customWidth="1"/>
    <col min="14854" max="14854" width="12.5" style="241" customWidth="1"/>
    <col min="14855" max="15104" width="8.83203125" style="241"/>
    <col min="15105" max="15105" width="3.5" style="241" bestFit="1" customWidth="1"/>
    <col min="15106" max="15106" width="38.5" style="241" customWidth="1"/>
    <col min="15107" max="15107" width="5.5" style="241" bestFit="1" customWidth="1"/>
    <col min="15108" max="15108" width="8.1640625" style="241" bestFit="1" customWidth="1"/>
    <col min="15109" max="15109" width="9" style="241" bestFit="1" customWidth="1"/>
    <col min="15110" max="15110" width="12.5" style="241" customWidth="1"/>
    <col min="15111" max="15360" width="8.83203125" style="241"/>
    <col min="15361" max="15361" width="3.5" style="241" bestFit="1" customWidth="1"/>
    <col min="15362" max="15362" width="38.5" style="241" customWidth="1"/>
    <col min="15363" max="15363" width="5.5" style="241" bestFit="1" customWidth="1"/>
    <col min="15364" max="15364" width="8.1640625" style="241" bestFit="1" customWidth="1"/>
    <col min="15365" max="15365" width="9" style="241" bestFit="1" customWidth="1"/>
    <col min="15366" max="15366" width="12.5" style="241" customWidth="1"/>
    <col min="15367" max="15616" width="8.83203125" style="241"/>
    <col min="15617" max="15617" width="3.5" style="241" bestFit="1" customWidth="1"/>
    <col min="15618" max="15618" width="38.5" style="241" customWidth="1"/>
    <col min="15619" max="15619" width="5.5" style="241" bestFit="1" customWidth="1"/>
    <col min="15620" max="15620" width="8.1640625" style="241" bestFit="1" customWidth="1"/>
    <col min="15621" max="15621" width="9" style="241" bestFit="1" customWidth="1"/>
    <col min="15622" max="15622" width="12.5" style="241" customWidth="1"/>
    <col min="15623" max="15872" width="8.83203125" style="241"/>
    <col min="15873" max="15873" width="3.5" style="241" bestFit="1" customWidth="1"/>
    <col min="15874" max="15874" width="38.5" style="241" customWidth="1"/>
    <col min="15875" max="15875" width="5.5" style="241" bestFit="1" customWidth="1"/>
    <col min="15876" max="15876" width="8.1640625" style="241" bestFit="1" customWidth="1"/>
    <col min="15877" max="15877" width="9" style="241" bestFit="1" customWidth="1"/>
    <col min="15878" max="15878" width="12.5" style="241" customWidth="1"/>
    <col min="15879" max="16128" width="8.83203125" style="241"/>
    <col min="16129" max="16129" width="3.5" style="241" bestFit="1" customWidth="1"/>
    <col min="16130" max="16130" width="38.5" style="241" customWidth="1"/>
    <col min="16131" max="16131" width="5.5" style="241" bestFit="1" customWidth="1"/>
    <col min="16132" max="16132" width="8.1640625" style="241" bestFit="1" customWidth="1"/>
    <col min="16133" max="16133" width="9" style="241" bestFit="1" customWidth="1"/>
    <col min="16134" max="16134" width="12.5" style="241" customWidth="1"/>
    <col min="16135" max="16384" width="8.83203125" style="241"/>
  </cols>
  <sheetData>
    <row r="1" spans="1:8">
      <c r="A1" s="236"/>
      <c r="B1" s="237"/>
      <c r="C1" s="236"/>
      <c r="D1" s="236"/>
      <c r="E1" s="238"/>
      <c r="F1" s="239" t="s">
        <v>1161</v>
      </c>
    </row>
    <row r="2" spans="1:8">
      <c r="A2" s="236"/>
      <c r="B2" s="237"/>
      <c r="C2" s="236"/>
      <c r="D2" s="236"/>
      <c r="E2" s="238"/>
      <c r="F2" s="239" t="s">
        <v>1272</v>
      </c>
    </row>
    <row r="3" spans="1:8">
      <c r="A3" s="236"/>
      <c r="B3" s="237"/>
      <c r="C3" s="236"/>
      <c r="D3" s="236"/>
      <c r="E3" s="238"/>
      <c r="F3" s="239" t="s">
        <v>1159</v>
      </c>
    </row>
    <row r="4" spans="1:8">
      <c r="A4" s="236"/>
      <c r="B4" s="237"/>
      <c r="C4" s="236"/>
      <c r="D4" s="236"/>
      <c r="E4" s="238"/>
      <c r="F4" s="239" t="s">
        <v>1319</v>
      </c>
    </row>
    <row r="5" spans="1:8">
      <c r="A5" s="238"/>
      <c r="B5" s="242" t="s">
        <v>1157</v>
      </c>
      <c r="C5" s="238"/>
      <c r="D5" s="238"/>
      <c r="E5" s="238"/>
      <c r="F5" s="243" t="s">
        <v>1156</v>
      </c>
    </row>
    <row r="6" spans="1:8" ht="16">
      <c r="A6" s="238"/>
      <c r="B6" s="244" t="s">
        <v>1334</v>
      </c>
      <c r="C6" s="238"/>
      <c r="D6" s="238"/>
      <c r="E6" s="238"/>
      <c r="F6" s="245"/>
    </row>
    <row r="7" spans="1:8">
      <c r="A7" s="238"/>
      <c r="B7" s="242"/>
      <c r="C7" s="238"/>
      <c r="D7" s="238"/>
      <c r="E7" s="238"/>
      <c r="F7" s="245"/>
    </row>
    <row r="8" spans="1:8" ht="34">
      <c r="A8" s="246" t="s">
        <v>1154</v>
      </c>
      <c r="B8" s="247" t="s">
        <v>1153</v>
      </c>
      <c r="C8" s="248" t="s">
        <v>1275</v>
      </c>
      <c r="D8" s="248" t="s">
        <v>1276</v>
      </c>
      <c r="E8" s="248" t="s">
        <v>1277</v>
      </c>
      <c r="F8" s="249" t="s">
        <v>1278</v>
      </c>
      <c r="G8" s="250" t="s">
        <v>1279</v>
      </c>
      <c r="H8" s="251"/>
    </row>
    <row r="9" spans="1:8">
      <c r="A9" s="359">
        <v>1</v>
      </c>
      <c r="B9" s="252" t="s">
        <v>1321</v>
      </c>
      <c r="C9" s="253" t="s">
        <v>1290</v>
      </c>
      <c r="D9" s="253">
        <v>0.33700000000000002</v>
      </c>
      <c r="E9" s="254">
        <v>60.66</v>
      </c>
      <c r="F9" s="255">
        <f>IF(ISERROR(SEARCH("химия",B9)),D9*E9,D9*E9*G9/1000)</f>
        <v>20.442419999999998</v>
      </c>
      <c r="G9" s="256" t="str">
        <f>IF(ISERROR(SEARCH("химия",B9)),IF(ISERROR(SEARCH("RAL",B9)),"","RAL"),5)</f>
        <v/>
      </c>
    </row>
    <row r="10" spans="1:8">
      <c r="A10" s="360"/>
      <c r="B10" s="252" t="s">
        <v>1322</v>
      </c>
      <c r="C10" s="253" t="s">
        <v>1290</v>
      </c>
      <c r="D10" s="253">
        <v>14.590999999999999</v>
      </c>
      <c r="E10" s="254">
        <v>61.48</v>
      </c>
      <c r="F10" s="255">
        <f t="shared" ref="F10:F20" si="0">IF(ISERROR(SEARCH("химия",B10)),D10*E10,D10*E10*G10/1000)</f>
        <v>897.05467999999996</v>
      </c>
      <c r="G10" s="256" t="str">
        <f t="shared" ref="G10:G20" si="1">IF(ISERROR(SEARCH("химия",B10)),IF(ISERROR(SEARCH("RAL",B10)),"","RAL"),5)</f>
        <v/>
      </c>
    </row>
    <row r="11" spans="1:8">
      <c r="A11" s="360"/>
      <c r="B11" s="252" t="s">
        <v>1323</v>
      </c>
      <c r="C11" s="253" t="s">
        <v>1290</v>
      </c>
      <c r="D11" s="253">
        <v>0.753</v>
      </c>
      <c r="E11" s="254">
        <v>379.82</v>
      </c>
      <c r="F11" s="255">
        <f t="shared" si="0"/>
        <v>286.00445999999999</v>
      </c>
      <c r="G11" s="256">
        <v>350</v>
      </c>
    </row>
    <row r="12" spans="1:8">
      <c r="A12" s="360"/>
      <c r="B12" s="252" t="s">
        <v>1324</v>
      </c>
      <c r="C12" s="253" t="s">
        <v>1177</v>
      </c>
      <c r="D12" s="253">
        <v>1.9570000000000001</v>
      </c>
      <c r="E12" s="254">
        <v>0.52</v>
      </c>
      <c r="F12" s="255">
        <f>IF(ISERROR(SEARCH("химия",B12)),D12*E12,D12*E12*G12)</f>
        <v>5.0882000000000005</v>
      </c>
      <c r="G12" s="256">
        <f t="shared" si="1"/>
        <v>5</v>
      </c>
    </row>
    <row r="13" spans="1:8" ht="14.25" customHeight="1">
      <c r="A13" s="360"/>
      <c r="B13" s="252" t="s">
        <v>1325</v>
      </c>
      <c r="C13" s="253" t="s">
        <v>1284</v>
      </c>
      <c r="D13" s="253">
        <v>2</v>
      </c>
      <c r="E13" s="254">
        <v>1.22</v>
      </c>
      <c r="F13" s="255">
        <f t="shared" si="0"/>
        <v>2.44</v>
      </c>
      <c r="G13" s="256" t="str">
        <f t="shared" si="1"/>
        <v/>
      </c>
    </row>
    <row r="14" spans="1:8">
      <c r="A14" s="360"/>
      <c r="B14" s="252" t="s">
        <v>1326</v>
      </c>
      <c r="C14" s="253" t="s">
        <v>1284</v>
      </c>
      <c r="D14" s="253">
        <v>6</v>
      </c>
      <c r="E14" s="254">
        <v>0.55000000000000004</v>
      </c>
      <c r="F14" s="255">
        <f t="shared" si="0"/>
        <v>3.3000000000000003</v>
      </c>
      <c r="G14" s="256" t="str">
        <f t="shared" si="1"/>
        <v/>
      </c>
    </row>
    <row r="15" spans="1:8" ht="15.75" customHeight="1">
      <c r="A15" s="360"/>
      <c r="B15" s="257" t="s">
        <v>1327</v>
      </c>
      <c r="C15" s="253" t="s">
        <v>1284</v>
      </c>
      <c r="D15" s="253">
        <v>2</v>
      </c>
      <c r="E15" s="254">
        <v>2.02</v>
      </c>
      <c r="F15" s="255">
        <f t="shared" si="0"/>
        <v>4.04</v>
      </c>
      <c r="G15" s="256" t="str">
        <f t="shared" si="1"/>
        <v/>
      </c>
      <c r="H15" s="258"/>
    </row>
    <row r="16" spans="1:8" ht="15.75" customHeight="1">
      <c r="A16" s="360"/>
      <c r="B16" s="257" t="s">
        <v>1328</v>
      </c>
      <c r="C16" s="253" t="s">
        <v>1284</v>
      </c>
      <c r="D16" s="253">
        <v>2</v>
      </c>
      <c r="E16" s="254">
        <v>39</v>
      </c>
      <c r="F16" s="255">
        <f t="shared" si="0"/>
        <v>78</v>
      </c>
      <c r="G16" s="256" t="str">
        <f t="shared" si="1"/>
        <v/>
      </c>
      <c r="H16" s="258"/>
    </row>
    <row r="17" spans="1:8" ht="15.75" customHeight="1">
      <c r="A17" s="360"/>
      <c r="B17" s="257" t="s">
        <v>1329</v>
      </c>
      <c r="C17" s="253" t="s">
        <v>1284</v>
      </c>
      <c r="D17" s="253">
        <v>1</v>
      </c>
      <c r="E17" s="254">
        <v>52.68</v>
      </c>
      <c r="F17" s="255">
        <f t="shared" si="0"/>
        <v>52.68</v>
      </c>
      <c r="G17" s="256" t="str">
        <f t="shared" si="1"/>
        <v/>
      </c>
      <c r="H17" s="258"/>
    </row>
    <row r="18" spans="1:8" ht="15.75" customHeight="1">
      <c r="A18" s="360"/>
      <c r="B18" s="257" t="s">
        <v>1197</v>
      </c>
      <c r="C18" s="253" t="s">
        <v>1284</v>
      </c>
      <c r="D18" s="253">
        <v>1</v>
      </c>
      <c r="E18" s="254">
        <v>454.1</v>
      </c>
      <c r="F18" s="255">
        <f t="shared" si="0"/>
        <v>454.1</v>
      </c>
      <c r="G18" s="256" t="str">
        <f t="shared" si="1"/>
        <v/>
      </c>
      <c r="H18" s="258"/>
    </row>
    <row r="19" spans="1:8" ht="15.75" customHeight="1">
      <c r="A19" s="360"/>
      <c r="B19" s="257" t="s">
        <v>1332</v>
      </c>
      <c r="C19" s="253" t="s">
        <v>1284</v>
      </c>
      <c r="D19" s="253">
        <v>4</v>
      </c>
      <c r="E19" s="254">
        <v>0.25</v>
      </c>
      <c r="F19" s="255">
        <f t="shared" si="0"/>
        <v>1</v>
      </c>
      <c r="G19" s="256" t="str">
        <f t="shared" si="1"/>
        <v/>
      </c>
      <c r="H19" s="258"/>
    </row>
    <row r="20" spans="1:8" ht="15.75" customHeight="1">
      <c r="A20" s="360"/>
      <c r="B20" s="257" t="s">
        <v>1186</v>
      </c>
      <c r="C20" s="253" t="s">
        <v>1284</v>
      </c>
      <c r="D20" s="253">
        <v>1</v>
      </c>
      <c r="E20" s="254">
        <v>6</v>
      </c>
      <c r="F20" s="255">
        <f t="shared" si="0"/>
        <v>6</v>
      </c>
      <c r="G20" s="256" t="str">
        <f t="shared" si="1"/>
        <v/>
      </c>
      <c r="H20" s="258"/>
    </row>
    <row r="21" spans="1:8">
      <c r="A21" s="360"/>
      <c r="B21" s="259" t="s">
        <v>1118</v>
      </c>
      <c r="C21" s="260"/>
      <c r="D21" s="261"/>
      <c r="E21" s="262"/>
      <c r="F21" s="263">
        <f>SUM(F9:F20)</f>
        <v>1810.1497599999998</v>
      </c>
    </row>
    <row r="22" spans="1:8">
      <c r="A22" s="360"/>
      <c r="B22" s="264" t="s">
        <v>1285</v>
      </c>
      <c r="C22" s="265"/>
      <c r="D22" s="253"/>
      <c r="E22" s="266">
        <v>0.01</v>
      </c>
      <c r="F22" s="255">
        <f>F21*E22</f>
        <v>18.101497599999998</v>
      </c>
    </row>
    <row r="23" spans="1:8">
      <c r="A23" s="361"/>
      <c r="B23" s="259" t="s">
        <v>1286</v>
      </c>
      <c r="C23" s="265"/>
      <c r="D23" s="253"/>
      <c r="E23" s="253"/>
      <c r="F23" s="263">
        <f>SUM(F21:F22)</f>
        <v>1828.2512575999997</v>
      </c>
    </row>
    <row r="24" spans="1:8">
      <c r="A24" s="246">
        <v>2</v>
      </c>
      <c r="B24" s="259" t="s">
        <v>1114</v>
      </c>
      <c r="C24" s="265"/>
      <c r="D24" s="253"/>
      <c r="E24" s="266">
        <v>0.14000000000000001</v>
      </c>
      <c r="F24" s="255">
        <f>F23*E24</f>
        <v>255.95517606399997</v>
      </c>
    </row>
    <row r="25" spans="1:8">
      <c r="A25" s="246"/>
      <c r="B25" s="264" t="s">
        <v>1113</v>
      </c>
      <c r="C25" s="265"/>
      <c r="D25" s="253"/>
      <c r="E25" s="266">
        <v>0.14000000000000001</v>
      </c>
      <c r="F25" s="255">
        <f>F24*E25</f>
        <v>35.833724648960001</v>
      </c>
    </row>
    <row r="26" spans="1:8">
      <c r="A26" s="246"/>
      <c r="B26" s="264" t="s">
        <v>1287</v>
      </c>
      <c r="C26" s="265"/>
      <c r="D26" s="253"/>
      <c r="E26" s="266"/>
      <c r="F26" s="255">
        <f>(F24+F25)*31.3%</f>
        <v>91.329925923156466</v>
      </c>
    </row>
    <row r="27" spans="1:8">
      <c r="A27" s="246">
        <v>3</v>
      </c>
      <c r="B27" s="259" t="s">
        <v>1109</v>
      </c>
      <c r="C27" s="265"/>
      <c r="D27" s="253"/>
      <c r="E27" s="266">
        <v>1.5</v>
      </c>
      <c r="F27" s="255">
        <f>F24*E27</f>
        <v>383.93276409599997</v>
      </c>
    </row>
    <row r="28" spans="1:8">
      <c r="A28" s="246">
        <v>4</v>
      </c>
      <c r="B28" s="259" t="s">
        <v>1107</v>
      </c>
      <c r="C28" s="265"/>
      <c r="D28" s="253"/>
      <c r="E28" s="267"/>
      <c r="F28" s="249">
        <f>F23+F24+F25+F26+F27</f>
        <v>2595.3028483321164</v>
      </c>
    </row>
    <row r="29" spans="1:8">
      <c r="A29" s="246">
        <v>5</v>
      </c>
      <c r="B29" s="259" t="s">
        <v>1105</v>
      </c>
      <c r="C29" s="265"/>
      <c r="D29" s="253"/>
      <c r="E29" s="268">
        <v>1</v>
      </c>
      <c r="F29" s="269">
        <f>F24*E29</f>
        <v>255.95517606399997</v>
      </c>
    </row>
    <row r="30" spans="1:8">
      <c r="A30" s="246"/>
      <c r="B30" s="259"/>
      <c r="C30" s="265"/>
      <c r="D30" s="253"/>
      <c r="E30" s="268">
        <v>0.8</v>
      </c>
      <c r="F30" s="269">
        <f>F24*E30</f>
        <v>204.76414085119998</v>
      </c>
    </row>
    <row r="31" spans="1:8">
      <c r="A31" s="246">
        <v>6</v>
      </c>
      <c r="B31" s="259" t="s">
        <v>1288</v>
      </c>
      <c r="C31" s="265"/>
      <c r="D31" s="253"/>
      <c r="E31" s="253"/>
      <c r="F31" s="269">
        <f>F28+F29</f>
        <v>2851.2580243961165</v>
      </c>
    </row>
    <row r="32" spans="1:8">
      <c r="A32" s="246"/>
      <c r="B32" s="259"/>
      <c r="C32" s="265"/>
      <c r="D32" s="253"/>
      <c r="E32" s="253"/>
      <c r="F32" s="269">
        <f>F28+F30</f>
        <v>2800.0669891833163</v>
      </c>
    </row>
    <row r="33" spans="1:8">
      <c r="A33" s="246">
        <v>7</v>
      </c>
      <c r="B33" s="259" t="s">
        <v>83</v>
      </c>
      <c r="C33" s="265"/>
      <c r="D33" s="253"/>
      <c r="E33" s="266">
        <v>0.4</v>
      </c>
      <c r="F33" s="269">
        <f>F31*E33</f>
        <v>1140.5032097584467</v>
      </c>
    </row>
    <row r="34" spans="1:8">
      <c r="A34" s="246"/>
      <c r="B34" s="259"/>
      <c r="C34" s="265"/>
      <c r="D34" s="253"/>
      <c r="E34" s="266">
        <v>7.0000000000000007E-2</v>
      </c>
      <c r="F34" s="269">
        <f>F32*E34</f>
        <v>196.00468924283217</v>
      </c>
    </row>
    <row r="35" spans="1:8">
      <c r="A35" s="246">
        <v>8</v>
      </c>
      <c r="B35" s="270" t="s">
        <v>1100</v>
      </c>
      <c r="C35" s="265"/>
      <c r="D35" s="253"/>
      <c r="E35" s="266"/>
      <c r="F35" s="269">
        <v>84</v>
      </c>
      <c r="H35" s="241" t="s">
        <v>1330</v>
      </c>
    </row>
    <row r="36" spans="1:8">
      <c r="A36" s="246">
        <v>9</v>
      </c>
      <c r="B36" s="270" t="s">
        <v>1099</v>
      </c>
      <c r="C36" s="265"/>
      <c r="D36" s="253"/>
      <c r="E36" s="267"/>
      <c r="F36" s="269">
        <f>F31+F33+F35</f>
        <v>4075.7612341545632</v>
      </c>
    </row>
    <row r="37" spans="1:8">
      <c r="A37" s="246"/>
      <c r="B37" s="270"/>
      <c r="C37" s="265"/>
      <c r="D37" s="253"/>
      <c r="E37" s="267"/>
      <c r="F37" s="269">
        <f>F32+F34+F35</f>
        <v>3080.0716784261485</v>
      </c>
    </row>
    <row r="38" spans="1:8">
      <c r="A38" s="246">
        <v>10</v>
      </c>
      <c r="B38" s="270" t="s">
        <v>1098</v>
      </c>
      <c r="C38" s="265"/>
      <c r="D38" s="253"/>
      <c r="E38" s="268">
        <v>0.22</v>
      </c>
      <c r="F38" s="269">
        <f>F36*E38</f>
        <v>896.66747151400386</v>
      </c>
    </row>
    <row r="39" spans="1:8">
      <c r="A39" s="246"/>
      <c r="B39" s="270"/>
      <c r="C39" s="265"/>
      <c r="D39" s="253"/>
      <c r="E39" s="268">
        <v>0.22</v>
      </c>
      <c r="F39" s="269">
        <f>F37*E39</f>
        <v>677.61576925375266</v>
      </c>
    </row>
    <row r="40" spans="1:8">
      <c r="A40" s="246">
        <v>11</v>
      </c>
      <c r="B40" s="271" t="s">
        <v>1291</v>
      </c>
      <c r="C40" s="265"/>
      <c r="D40" s="265"/>
      <c r="E40" s="265" t="s">
        <v>1096</v>
      </c>
      <c r="F40" s="263">
        <f>F36+F38</f>
        <v>4972.4287056685671</v>
      </c>
    </row>
    <row r="41" spans="1:8">
      <c r="A41" s="272"/>
      <c r="B41" s="273"/>
      <c r="C41" s="272"/>
      <c r="D41" s="272"/>
      <c r="E41" s="272" t="s">
        <v>1095</v>
      </c>
      <c r="F41" s="274">
        <f>F37+F39</f>
        <v>3757.6874476799012</v>
      </c>
    </row>
    <row r="42" spans="1:8">
      <c r="A42" s="236"/>
      <c r="B42" s="237"/>
      <c r="C42" s="236"/>
      <c r="D42" s="236"/>
      <c r="E42" s="236"/>
      <c r="F42" s="275"/>
    </row>
    <row r="43" spans="1:8">
      <c r="A43" s="236"/>
      <c r="B43" s="237"/>
      <c r="C43" s="236"/>
      <c r="D43" s="236"/>
      <c r="E43" s="236"/>
      <c r="F43" s="275"/>
    </row>
    <row r="44" spans="1:8">
      <c r="A44" s="236"/>
      <c r="B44" s="237"/>
      <c r="C44" s="236"/>
      <c r="D44" s="236"/>
      <c r="E44" s="236"/>
      <c r="F44" s="275"/>
    </row>
    <row r="45" spans="1:8">
      <c r="A45" s="236"/>
      <c r="B45" s="276" t="s">
        <v>1292</v>
      </c>
      <c r="C45" s="236"/>
      <c r="D45" s="236"/>
      <c r="E45" s="236"/>
      <c r="F45" s="275"/>
    </row>
    <row r="46" spans="1:8">
      <c r="A46" s="236"/>
      <c r="B46" s="237"/>
      <c r="C46" s="236"/>
      <c r="D46" s="236"/>
      <c r="E46" s="236"/>
      <c r="F46" s="275"/>
    </row>
  </sheetData>
  <mergeCells count="1">
    <mergeCell ref="A9:A23"/>
  </mergeCells>
  <pageMargins left="0.7" right="0.7" top="0.75" bottom="0.75" header="0.3" footer="0.3"/>
  <pageSetup paperSize="9" orientation="landscape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17368-7104-A147-B567-C2B4049410B3}">
  <dimension ref="A1:H46"/>
  <sheetViews>
    <sheetView topLeftCell="A5" workbookViewId="0">
      <selection activeCell="S37" sqref="S37"/>
    </sheetView>
  </sheetViews>
  <sheetFormatPr baseColWidth="10" defaultColWidth="8.83203125" defaultRowHeight="15"/>
  <cols>
    <col min="1" max="1" width="3.5" style="241" bestFit="1" customWidth="1"/>
    <col min="2" max="2" width="51.5" style="277" customWidth="1"/>
    <col min="3" max="3" width="5.5" style="241" bestFit="1" customWidth="1"/>
    <col min="4" max="4" width="8.1640625" style="241" bestFit="1" customWidth="1"/>
    <col min="5" max="5" width="9" style="241" bestFit="1" customWidth="1"/>
    <col min="6" max="6" width="12.5" style="241" customWidth="1"/>
    <col min="7" max="7" width="7.6640625" style="240" customWidth="1"/>
    <col min="8" max="8" width="66.5" style="241" customWidth="1"/>
    <col min="9" max="256" width="8.83203125" style="241"/>
    <col min="257" max="257" width="3.5" style="241" bestFit="1" customWidth="1"/>
    <col min="258" max="258" width="38.5" style="241" customWidth="1"/>
    <col min="259" max="259" width="5.5" style="241" bestFit="1" customWidth="1"/>
    <col min="260" max="260" width="8.1640625" style="241" bestFit="1" customWidth="1"/>
    <col min="261" max="261" width="9" style="241" bestFit="1" customWidth="1"/>
    <col min="262" max="262" width="12.5" style="241" customWidth="1"/>
    <col min="263" max="512" width="8.83203125" style="241"/>
    <col min="513" max="513" width="3.5" style="241" bestFit="1" customWidth="1"/>
    <col min="514" max="514" width="38.5" style="241" customWidth="1"/>
    <col min="515" max="515" width="5.5" style="241" bestFit="1" customWidth="1"/>
    <col min="516" max="516" width="8.1640625" style="241" bestFit="1" customWidth="1"/>
    <col min="517" max="517" width="9" style="241" bestFit="1" customWidth="1"/>
    <col min="518" max="518" width="12.5" style="241" customWidth="1"/>
    <col min="519" max="768" width="8.83203125" style="241"/>
    <col min="769" max="769" width="3.5" style="241" bestFit="1" customWidth="1"/>
    <col min="770" max="770" width="38.5" style="241" customWidth="1"/>
    <col min="771" max="771" width="5.5" style="241" bestFit="1" customWidth="1"/>
    <col min="772" max="772" width="8.1640625" style="241" bestFit="1" customWidth="1"/>
    <col min="773" max="773" width="9" style="241" bestFit="1" customWidth="1"/>
    <col min="774" max="774" width="12.5" style="241" customWidth="1"/>
    <col min="775" max="1024" width="8.83203125" style="241"/>
    <col min="1025" max="1025" width="3.5" style="241" bestFit="1" customWidth="1"/>
    <col min="1026" max="1026" width="38.5" style="241" customWidth="1"/>
    <col min="1027" max="1027" width="5.5" style="241" bestFit="1" customWidth="1"/>
    <col min="1028" max="1028" width="8.1640625" style="241" bestFit="1" customWidth="1"/>
    <col min="1029" max="1029" width="9" style="241" bestFit="1" customWidth="1"/>
    <col min="1030" max="1030" width="12.5" style="241" customWidth="1"/>
    <col min="1031" max="1280" width="8.83203125" style="241"/>
    <col min="1281" max="1281" width="3.5" style="241" bestFit="1" customWidth="1"/>
    <col min="1282" max="1282" width="38.5" style="241" customWidth="1"/>
    <col min="1283" max="1283" width="5.5" style="241" bestFit="1" customWidth="1"/>
    <col min="1284" max="1284" width="8.1640625" style="241" bestFit="1" customWidth="1"/>
    <col min="1285" max="1285" width="9" style="241" bestFit="1" customWidth="1"/>
    <col min="1286" max="1286" width="12.5" style="241" customWidth="1"/>
    <col min="1287" max="1536" width="8.83203125" style="241"/>
    <col min="1537" max="1537" width="3.5" style="241" bestFit="1" customWidth="1"/>
    <col min="1538" max="1538" width="38.5" style="241" customWidth="1"/>
    <col min="1539" max="1539" width="5.5" style="241" bestFit="1" customWidth="1"/>
    <col min="1540" max="1540" width="8.1640625" style="241" bestFit="1" customWidth="1"/>
    <col min="1541" max="1541" width="9" style="241" bestFit="1" customWidth="1"/>
    <col min="1542" max="1542" width="12.5" style="241" customWidth="1"/>
    <col min="1543" max="1792" width="8.83203125" style="241"/>
    <col min="1793" max="1793" width="3.5" style="241" bestFit="1" customWidth="1"/>
    <col min="1794" max="1794" width="38.5" style="241" customWidth="1"/>
    <col min="1795" max="1795" width="5.5" style="241" bestFit="1" customWidth="1"/>
    <col min="1796" max="1796" width="8.1640625" style="241" bestFit="1" customWidth="1"/>
    <col min="1797" max="1797" width="9" style="241" bestFit="1" customWidth="1"/>
    <col min="1798" max="1798" width="12.5" style="241" customWidth="1"/>
    <col min="1799" max="2048" width="8.83203125" style="241"/>
    <col min="2049" max="2049" width="3.5" style="241" bestFit="1" customWidth="1"/>
    <col min="2050" max="2050" width="38.5" style="241" customWidth="1"/>
    <col min="2051" max="2051" width="5.5" style="241" bestFit="1" customWidth="1"/>
    <col min="2052" max="2052" width="8.1640625" style="241" bestFit="1" customWidth="1"/>
    <col min="2053" max="2053" width="9" style="241" bestFit="1" customWidth="1"/>
    <col min="2054" max="2054" width="12.5" style="241" customWidth="1"/>
    <col min="2055" max="2304" width="8.83203125" style="241"/>
    <col min="2305" max="2305" width="3.5" style="241" bestFit="1" customWidth="1"/>
    <col min="2306" max="2306" width="38.5" style="241" customWidth="1"/>
    <col min="2307" max="2307" width="5.5" style="241" bestFit="1" customWidth="1"/>
    <col min="2308" max="2308" width="8.1640625" style="241" bestFit="1" customWidth="1"/>
    <col min="2309" max="2309" width="9" style="241" bestFit="1" customWidth="1"/>
    <col min="2310" max="2310" width="12.5" style="241" customWidth="1"/>
    <col min="2311" max="2560" width="8.83203125" style="241"/>
    <col min="2561" max="2561" width="3.5" style="241" bestFit="1" customWidth="1"/>
    <col min="2562" max="2562" width="38.5" style="241" customWidth="1"/>
    <col min="2563" max="2563" width="5.5" style="241" bestFit="1" customWidth="1"/>
    <col min="2564" max="2564" width="8.1640625" style="241" bestFit="1" customWidth="1"/>
    <col min="2565" max="2565" width="9" style="241" bestFit="1" customWidth="1"/>
    <col min="2566" max="2566" width="12.5" style="241" customWidth="1"/>
    <col min="2567" max="2816" width="8.83203125" style="241"/>
    <col min="2817" max="2817" width="3.5" style="241" bestFit="1" customWidth="1"/>
    <col min="2818" max="2818" width="38.5" style="241" customWidth="1"/>
    <col min="2819" max="2819" width="5.5" style="241" bestFit="1" customWidth="1"/>
    <col min="2820" max="2820" width="8.1640625" style="241" bestFit="1" customWidth="1"/>
    <col min="2821" max="2821" width="9" style="241" bestFit="1" customWidth="1"/>
    <col min="2822" max="2822" width="12.5" style="241" customWidth="1"/>
    <col min="2823" max="3072" width="8.83203125" style="241"/>
    <col min="3073" max="3073" width="3.5" style="241" bestFit="1" customWidth="1"/>
    <col min="3074" max="3074" width="38.5" style="241" customWidth="1"/>
    <col min="3075" max="3075" width="5.5" style="241" bestFit="1" customWidth="1"/>
    <col min="3076" max="3076" width="8.1640625" style="241" bestFit="1" customWidth="1"/>
    <col min="3077" max="3077" width="9" style="241" bestFit="1" customWidth="1"/>
    <col min="3078" max="3078" width="12.5" style="241" customWidth="1"/>
    <col min="3079" max="3328" width="8.83203125" style="241"/>
    <col min="3329" max="3329" width="3.5" style="241" bestFit="1" customWidth="1"/>
    <col min="3330" max="3330" width="38.5" style="241" customWidth="1"/>
    <col min="3331" max="3331" width="5.5" style="241" bestFit="1" customWidth="1"/>
    <col min="3332" max="3332" width="8.1640625" style="241" bestFit="1" customWidth="1"/>
    <col min="3333" max="3333" width="9" style="241" bestFit="1" customWidth="1"/>
    <col min="3334" max="3334" width="12.5" style="241" customWidth="1"/>
    <col min="3335" max="3584" width="8.83203125" style="241"/>
    <col min="3585" max="3585" width="3.5" style="241" bestFit="1" customWidth="1"/>
    <col min="3586" max="3586" width="38.5" style="241" customWidth="1"/>
    <col min="3587" max="3587" width="5.5" style="241" bestFit="1" customWidth="1"/>
    <col min="3588" max="3588" width="8.1640625" style="241" bestFit="1" customWidth="1"/>
    <col min="3589" max="3589" width="9" style="241" bestFit="1" customWidth="1"/>
    <col min="3590" max="3590" width="12.5" style="241" customWidth="1"/>
    <col min="3591" max="3840" width="8.83203125" style="241"/>
    <col min="3841" max="3841" width="3.5" style="241" bestFit="1" customWidth="1"/>
    <col min="3842" max="3842" width="38.5" style="241" customWidth="1"/>
    <col min="3843" max="3843" width="5.5" style="241" bestFit="1" customWidth="1"/>
    <col min="3844" max="3844" width="8.1640625" style="241" bestFit="1" customWidth="1"/>
    <col min="3845" max="3845" width="9" style="241" bestFit="1" customWidth="1"/>
    <col min="3846" max="3846" width="12.5" style="241" customWidth="1"/>
    <col min="3847" max="4096" width="8.83203125" style="241"/>
    <col min="4097" max="4097" width="3.5" style="241" bestFit="1" customWidth="1"/>
    <col min="4098" max="4098" width="38.5" style="241" customWidth="1"/>
    <col min="4099" max="4099" width="5.5" style="241" bestFit="1" customWidth="1"/>
    <col min="4100" max="4100" width="8.1640625" style="241" bestFit="1" customWidth="1"/>
    <col min="4101" max="4101" width="9" style="241" bestFit="1" customWidth="1"/>
    <col min="4102" max="4102" width="12.5" style="241" customWidth="1"/>
    <col min="4103" max="4352" width="8.83203125" style="241"/>
    <col min="4353" max="4353" width="3.5" style="241" bestFit="1" customWidth="1"/>
    <col min="4354" max="4354" width="38.5" style="241" customWidth="1"/>
    <col min="4355" max="4355" width="5.5" style="241" bestFit="1" customWidth="1"/>
    <col min="4356" max="4356" width="8.1640625" style="241" bestFit="1" customWidth="1"/>
    <col min="4357" max="4357" width="9" style="241" bestFit="1" customWidth="1"/>
    <col min="4358" max="4358" width="12.5" style="241" customWidth="1"/>
    <col min="4359" max="4608" width="8.83203125" style="241"/>
    <col min="4609" max="4609" width="3.5" style="241" bestFit="1" customWidth="1"/>
    <col min="4610" max="4610" width="38.5" style="241" customWidth="1"/>
    <col min="4611" max="4611" width="5.5" style="241" bestFit="1" customWidth="1"/>
    <col min="4612" max="4612" width="8.1640625" style="241" bestFit="1" customWidth="1"/>
    <col min="4613" max="4613" width="9" style="241" bestFit="1" customWidth="1"/>
    <col min="4614" max="4614" width="12.5" style="241" customWidth="1"/>
    <col min="4615" max="4864" width="8.83203125" style="241"/>
    <col min="4865" max="4865" width="3.5" style="241" bestFit="1" customWidth="1"/>
    <col min="4866" max="4866" width="38.5" style="241" customWidth="1"/>
    <col min="4867" max="4867" width="5.5" style="241" bestFit="1" customWidth="1"/>
    <col min="4868" max="4868" width="8.1640625" style="241" bestFit="1" customWidth="1"/>
    <col min="4869" max="4869" width="9" style="241" bestFit="1" customWidth="1"/>
    <col min="4870" max="4870" width="12.5" style="241" customWidth="1"/>
    <col min="4871" max="5120" width="8.83203125" style="241"/>
    <col min="5121" max="5121" width="3.5" style="241" bestFit="1" customWidth="1"/>
    <col min="5122" max="5122" width="38.5" style="241" customWidth="1"/>
    <col min="5123" max="5123" width="5.5" style="241" bestFit="1" customWidth="1"/>
    <col min="5124" max="5124" width="8.1640625" style="241" bestFit="1" customWidth="1"/>
    <col min="5125" max="5125" width="9" style="241" bestFit="1" customWidth="1"/>
    <col min="5126" max="5126" width="12.5" style="241" customWidth="1"/>
    <col min="5127" max="5376" width="8.83203125" style="241"/>
    <col min="5377" max="5377" width="3.5" style="241" bestFit="1" customWidth="1"/>
    <col min="5378" max="5378" width="38.5" style="241" customWidth="1"/>
    <col min="5379" max="5379" width="5.5" style="241" bestFit="1" customWidth="1"/>
    <col min="5380" max="5380" width="8.1640625" style="241" bestFit="1" customWidth="1"/>
    <col min="5381" max="5381" width="9" style="241" bestFit="1" customWidth="1"/>
    <col min="5382" max="5382" width="12.5" style="241" customWidth="1"/>
    <col min="5383" max="5632" width="8.83203125" style="241"/>
    <col min="5633" max="5633" width="3.5" style="241" bestFit="1" customWidth="1"/>
    <col min="5634" max="5634" width="38.5" style="241" customWidth="1"/>
    <col min="5635" max="5635" width="5.5" style="241" bestFit="1" customWidth="1"/>
    <col min="5636" max="5636" width="8.1640625" style="241" bestFit="1" customWidth="1"/>
    <col min="5637" max="5637" width="9" style="241" bestFit="1" customWidth="1"/>
    <col min="5638" max="5638" width="12.5" style="241" customWidth="1"/>
    <col min="5639" max="5888" width="8.83203125" style="241"/>
    <col min="5889" max="5889" width="3.5" style="241" bestFit="1" customWidth="1"/>
    <col min="5890" max="5890" width="38.5" style="241" customWidth="1"/>
    <col min="5891" max="5891" width="5.5" style="241" bestFit="1" customWidth="1"/>
    <col min="5892" max="5892" width="8.1640625" style="241" bestFit="1" customWidth="1"/>
    <col min="5893" max="5893" width="9" style="241" bestFit="1" customWidth="1"/>
    <col min="5894" max="5894" width="12.5" style="241" customWidth="1"/>
    <col min="5895" max="6144" width="8.83203125" style="241"/>
    <col min="6145" max="6145" width="3.5" style="241" bestFit="1" customWidth="1"/>
    <col min="6146" max="6146" width="38.5" style="241" customWidth="1"/>
    <col min="6147" max="6147" width="5.5" style="241" bestFit="1" customWidth="1"/>
    <col min="6148" max="6148" width="8.1640625" style="241" bestFit="1" customWidth="1"/>
    <col min="6149" max="6149" width="9" style="241" bestFit="1" customWidth="1"/>
    <col min="6150" max="6150" width="12.5" style="241" customWidth="1"/>
    <col min="6151" max="6400" width="8.83203125" style="241"/>
    <col min="6401" max="6401" width="3.5" style="241" bestFit="1" customWidth="1"/>
    <col min="6402" max="6402" width="38.5" style="241" customWidth="1"/>
    <col min="6403" max="6403" width="5.5" style="241" bestFit="1" customWidth="1"/>
    <col min="6404" max="6404" width="8.1640625" style="241" bestFit="1" customWidth="1"/>
    <col min="6405" max="6405" width="9" style="241" bestFit="1" customWidth="1"/>
    <col min="6406" max="6406" width="12.5" style="241" customWidth="1"/>
    <col min="6407" max="6656" width="8.83203125" style="241"/>
    <col min="6657" max="6657" width="3.5" style="241" bestFit="1" customWidth="1"/>
    <col min="6658" max="6658" width="38.5" style="241" customWidth="1"/>
    <col min="6659" max="6659" width="5.5" style="241" bestFit="1" customWidth="1"/>
    <col min="6660" max="6660" width="8.1640625" style="241" bestFit="1" customWidth="1"/>
    <col min="6661" max="6661" width="9" style="241" bestFit="1" customWidth="1"/>
    <col min="6662" max="6662" width="12.5" style="241" customWidth="1"/>
    <col min="6663" max="6912" width="8.83203125" style="241"/>
    <col min="6913" max="6913" width="3.5" style="241" bestFit="1" customWidth="1"/>
    <col min="6914" max="6914" width="38.5" style="241" customWidth="1"/>
    <col min="6915" max="6915" width="5.5" style="241" bestFit="1" customWidth="1"/>
    <col min="6916" max="6916" width="8.1640625" style="241" bestFit="1" customWidth="1"/>
    <col min="6917" max="6917" width="9" style="241" bestFit="1" customWidth="1"/>
    <col min="6918" max="6918" width="12.5" style="241" customWidth="1"/>
    <col min="6919" max="7168" width="8.83203125" style="241"/>
    <col min="7169" max="7169" width="3.5" style="241" bestFit="1" customWidth="1"/>
    <col min="7170" max="7170" width="38.5" style="241" customWidth="1"/>
    <col min="7171" max="7171" width="5.5" style="241" bestFit="1" customWidth="1"/>
    <col min="7172" max="7172" width="8.1640625" style="241" bestFit="1" customWidth="1"/>
    <col min="7173" max="7173" width="9" style="241" bestFit="1" customWidth="1"/>
    <col min="7174" max="7174" width="12.5" style="241" customWidth="1"/>
    <col min="7175" max="7424" width="8.83203125" style="241"/>
    <col min="7425" max="7425" width="3.5" style="241" bestFit="1" customWidth="1"/>
    <col min="7426" max="7426" width="38.5" style="241" customWidth="1"/>
    <col min="7427" max="7427" width="5.5" style="241" bestFit="1" customWidth="1"/>
    <col min="7428" max="7428" width="8.1640625" style="241" bestFit="1" customWidth="1"/>
    <col min="7429" max="7429" width="9" style="241" bestFit="1" customWidth="1"/>
    <col min="7430" max="7430" width="12.5" style="241" customWidth="1"/>
    <col min="7431" max="7680" width="8.83203125" style="241"/>
    <col min="7681" max="7681" width="3.5" style="241" bestFit="1" customWidth="1"/>
    <col min="7682" max="7682" width="38.5" style="241" customWidth="1"/>
    <col min="7683" max="7683" width="5.5" style="241" bestFit="1" customWidth="1"/>
    <col min="7684" max="7684" width="8.1640625" style="241" bestFit="1" customWidth="1"/>
    <col min="7685" max="7685" width="9" style="241" bestFit="1" customWidth="1"/>
    <col min="7686" max="7686" width="12.5" style="241" customWidth="1"/>
    <col min="7687" max="7936" width="8.83203125" style="241"/>
    <col min="7937" max="7937" width="3.5" style="241" bestFit="1" customWidth="1"/>
    <col min="7938" max="7938" width="38.5" style="241" customWidth="1"/>
    <col min="7939" max="7939" width="5.5" style="241" bestFit="1" customWidth="1"/>
    <col min="7940" max="7940" width="8.1640625" style="241" bestFit="1" customWidth="1"/>
    <col min="7941" max="7941" width="9" style="241" bestFit="1" customWidth="1"/>
    <col min="7942" max="7942" width="12.5" style="241" customWidth="1"/>
    <col min="7943" max="8192" width="8.83203125" style="241"/>
    <col min="8193" max="8193" width="3.5" style="241" bestFit="1" customWidth="1"/>
    <col min="8194" max="8194" width="38.5" style="241" customWidth="1"/>
    <col min="8195" max="8195" width="5.5" style="241" bestFit="1" customWidth="1"/>
    <col min="8196" max="8196" width="8.1640625" style="241" bestFit="1" customWidth="1"/>
    <col min="8197" max="8197" width="9" style="241" bestFit="1" customWidth="1"/>
    <col min="8198" max="8198" width="12.5" style="241" customWidth="1"/>
    <col min="8199" max="8448" width="8.83203125" style="241"/>
    <col min="8449" max="8449" width="3.5" style="241" bestFit="1" customWidth="1"/>
    <col min="8450" max="8450" width="38.5" style="241" customWidth="1"/>
    <col min="8451" max="8451" width="5.5" style="241" bestFit="1" customWidth="1"/>
    <col min="8452" max="8452" width="8.1640625" style="241" bestFit="1" customWidth="1"/>
    <col min="8453" max="8453" width="9" style="241" bestFit="1" customWidth="1"/>
    <col min="8454" max="8454" width="12.5" style="241" customWidth="1"/>
    <col min="8455" max="8704" width="8.83203125" style="241"/>
    <col min="8705" max="8705" width="3.5" style="241" bestFit="1" customWidth="1"/>
    <col min="8706" max="8706" width="38.5" style="241" customWidth="1"/>
    <col min="8707" max="8707" width="5.5" style="241" bestFit="1" customWidth="1"/>
    <col min="8708" max="8708" width="8.1640625" style="241" bestFit="1" customWidth="1"/>
    <col min="8709" max="8709" width="9" style="241" bestFit="1" customWidth="1"/>
    <col min="8710" max="8710" width="12.5" style="241" customWidth="1"/>
    <col min="8711" max="8960" width="8.83203125" style="241"/>
    <col min="8961" max="8961" width="3.5" style="241" bestFit="1" customWidth="1"/>
    <col min="8962" max="8962" width="38.5" style="241" customWidth="1"/>
    <col min="8963" max="8963" width="5.5" style="241" bestFit="1" customWidth="1"/>
    <col min="8964" max="8964" width="8.1640625" style="241" bestFit="1" customWidth="1"/>
    <col min="8965" max="8965" width="9" style="241" bestFit="1" customWidth="1"/>
    <col min="8966" max="8966" width="12.5" style="241" customWidth="1"/>
    <col min="8967" max="9216" width="8.83203125" style="241"/>
    <col min="9217" max="9217" width="3.5" style="241" bestFit="1" customWidth="1"/>
    <col min="9218" max="9218" width="38.5" style="241" customWidth="1"/>
    <col min="9219" max="9219" width="5.5" style="241" bestFit="1" customWidth="1"/>
    <col min="9220" max="9220" width="8.1640625" style="241" bestFit="1" customWidth="1"/>
    <col min="9221" max="9221" width="9" style="241" bestFit="1" customWidth="1"/>
    <col min="9222" max="9222" width="12.5" style="241" customWidth="1"/>
    <col min="9223" max="9472" width="8.83203125" style="241"/>
    <col min="9473" max="9473" width="3.5" style="241" bestFit="1" customWidth="1"/>
    <col min="9474" max="9474" width="38.5" style="241" customWidth="1"/>
    <col min="9475" max="9475" width="5.5" style="241" bestFit="1" customWidth="1"/>
    <col min="9476" max="9476" width="8.1640625" style="241" bestFit="1" customWidth="1"/>
    <col min="9477" max="9477" width="9" style="241" bestFit="1" customWidth="1"/>
    <col min="9478" max="9478" width="12.5" style="241" customWidth="1"/>
    <col min="9479" max="9728" width="8.83203125" style="241"/>
    <col min="9729" max="9729" width="3.5" style="241" bestFit="1" customWidth="1"/>
    <col min="9730" max="9730" width="38.5" style="241" customWidth="1"/>
    <col min="9731" max="9731" width="5.5" style="241" bestFit="1" customWidth="1"/>
    <col min="9732" max="9732" width="8.1640625" style="241" bestFit="1" customWidth="1"/>
    <col min="9733" max="9733" width="9" style="241" bestFit="1" customWidth="1"/>
    <col min="9734" max="9734" width="12.5" style="241" customWidth="1"/>
    <col min="9735" max="9984" width="8.83203125" style="241"/>
    <col min="9985" max="9985" width="3.5" style="241" bestFit="1" customWidth="1"/>
    <col min="9986" max="9986" width="38.5" style="241" customWidth="1"/>
    <col min="9987" max="9987" width="5.5" style="241" bestFit="1" customWidth="1"/>
    <col min="9988" max="9988" width="8.1640625" style="241" bestFit="1" customWidth="1"/>
    <col min="9989" max="9989" width="9" style="241" bestFit="1" customWidth="1"/>
    <col min="9990" max="9990" width="12.5" style="241" customWidth="1"/>
    <col min="9991" max="10240" width="8.83203125" style="241"/>
    <col min="10241" max="10241" width="3.5" style="241" bestFit="1" customWidth="1"/>
    <col min="10242" max="10242" width="38.5" style="241" customWidth="1"/>
    <col min="10243" max="10243" width="5.5" style="241" bestFit="1" customWidth="1"/>
    <col min="10244" max="10244" width="8.1640625" style="241" bestFit="1" customWidth="1"/>
    <col min="10245" max="10245" width="9" style="241" bestFit="1" customWidth="1"/>
    <col min="10246" max="10246" width="12.5" style="241" customWidth="1"/>
    <col min="10247" max="10496" width="8.83203125" style="241"/>
    <col min="10497" max="10497" width="3.5" style="241" bestFit="1" customWidth="1"/>
    <col min="10498" max="10498" width="38.5" style="241" customWidth="1"/>
    <col min="10499" max="10499" width="5.5" style="241" bestFit="1" customWidth="1"/>
    <col min="10500" max="10500" width="8.1640625" style="241" bestFit="1" customWidth="1"/>
    <col min="10501" max="10501" width="9" style="241" bestFit="1" customWidth="1"/>
    <col min="10502" max="10502" width="12.5" style="241" customWidth="1"/>
    <col min="10503" max="10752" width="8.83203125" style="241"/>
    <col min="10753" max="10753" width="3.5" style="241" bestFit="1" customWidth="1"/>
    <col min="10754" max="10754" width="38.5" style="241" customWidth="1"/>
    <col min="10755" max="10755" width="5.5" style="241" bestFit="1" customWidth="1"/>
    <col min="10756" max="10756" width="8.1640625" style="241" bestFit="1" customWidth="1"/>
    <col min="10757" max="10757" width="9" style="241" bestFit="1" customWidth="1"/>
    <col min="10758" max="10758" width="12.5" style="241" customWidth="1"/>
    <col min="10759" max="11008" width="8.83203125" style="241"/>
    <col min="11009" max="11009" width="3.5" style="241" bestFit="1" customWidth="1"/>
    <col min="11010" max="11010" width="38.5" style="241" customWidth="1"/>
    <col min="11011" max="11011" width="5.5" style="241" bestFit="1" customWidth="1"/>
    <col min="11012" max="11012" width="8.1640625" style="241" bestFit="1" customWidth="1"/>
    <col min="11013" max="11013" width="9" style="241" bestFit="1" customWidth="1"/>
    <col min="11014" max="11014" width="12.5" style="241" customWidth="1"/>
    <col min="11015" max="11264" width="8.83203125" style="241"/>
    <col min="11265" max="11265" width="3.5" style="241" bestFit="1" customWidth="1"/>
    <col min="11266" max="11266" width="38.5" style="241" customWidth="1"/>
    <col min="11267" max="11267" width="5.5" style="241" bestFit="1" customWidth="1"/>
    <col min="11268" max="11268" width="8.1640625" style="241" bestFit="1" customWidth="1"/>
    <col min="11269" max="11269" width="9" style="241" bestFit="1" customWidth="1"/>
    <col min="11270" max="11270" width="12.5" style="241" customWidth="1"/>
    <col min="11271" max="11520" width="8.83203125" style="241"/>
    <col min="11521" max="11521" width="3.5" style="241" bestFit="1" customWidth="1"/>
    <col min="11522" max="11522" width="38.5" style="241" customWidth="1"/>
    <col min="11523" max="11523" width="5.5" style="241" bestFit="1" customWidth="1"/>
    <col min="11524" max="11524" width="8.1640625" style="241" bestFit="1" customWidth="1"/>
    <col min="11525" max="11525" width="9" style="241" bestFit="1" customWidth="1"/>
    <col min="11526" max="11526" width="12.5" style="241" customWidth="1"/>
    <col min="11527" max="11776" width="8.83203125" style="241"/>
    <col min="11777" max="11777" width="3.5" style="241" bestFit="1" customWidth="1"/>
    <col min="11778" max="11778" width="38.5" style="241" customWidth="1"/>
    <col min="11779" max="11779" width="5.5" style="241" bestFit="1" customWidth="1"/>
    <col min="11780" max="11780" width="8.1640625" style="241" bestFit="1" customWidth="1"/>
    <col min="11781" max="11781" width="9" style="241" bestFit="1" customWidth="1"/>
    <col min="11782" max="11782" width="12.5" style="241" customWidth="1"/>
    <col min="11783" max="12032" width="8.83203125" style="241"/>
    <col min="12033" max="12033" width="3.5" style="241" bestFit="1" customWidth="1"/>
    <col min="12034" max="12034" width="38.5" style="241" customWidth="1"/>
    <col min="12035" max="12035" width="5.5" style="241" bestFit="1" customWidth="1"/>
    <col min="12036" max="12036" width="8.1640625" style="241" bestFit="1" customWidth="1"/>
    <col min="12037" max="12037" width="9" style="241" bestFit="1" customWidth="1"/>
    <col min="12038" max="12038" width="12.5" style="241" customWidth="1"/>
    <col min="12039" max="12288" width="8.83203125" style="241"/>
    <col min="12289" max="12289" width="3.5" style="241" bestFit="1" customWidth="1"/>
    <col min="12290" max="12290" width="38.5" style="241" customWidth="1"/>
    <col min="12291" max="12291" width="5.5" style="241" bestFit="1" customWidth="1"/>
    <col min="12292" max="12292" width="8.1640625" style="241" bestFit="1" customWidth="1"/>
    <col min="12293" max="12293" width="9" style="241" bestFit="1" customWidth="1"/>
    <col min="12294" max="12294" width="12.5" style="241" customWidth="1"/>
    <col min="12295" max="12544" width="8.83203125" style="241"/>
    <col min="12545" max="12545" width="3.5" style="241" bestFit="1" customWidth="1"/>
    <col min="12546" max="12546" width="38.5" style="241" customWidth="1"/>
    <col min="12547" max="12547" width="5.5" style="241" bestFit="1" customWidth="1"/>
    <col min="12548" max="12548" width="8.1640625" style="241" bestFit="1" customWidth="1"/>
    <col min="12549" max="12549" width="9" style="241" bestFit="1" customWidth="1"/>
    <col min="12550" max="12550" width="12.5" style="241" customWidth="1"/>
    <col min="12551" max="12800" width="8.83203125" style="241"/>
    <col min="12801" max="12801" width="3.5" style="241" bestFit="1" customWidth="1"/>
    <col min="12802" max="12802" width="38.5" style="241" customWidth="1"/>
    <col min="12803" max="12803" width="5.5" style="241" bestFit="1" customWidth="1"/>
    <col min="12804" max="12804" width="8.1640625" style="241" bestFit="1" customWidth="1"/>
    <col min="12805" max="12805" width="9" style="241" bestFit="1" customWidth="1"/>
    <col min="12806" max="12806" width="12.5" style="241" customWidth="1"/>
    <col min="12807" max="13056" width="8.83203125" style="241"/>
    <col min="13057" max="13057" width="3.5" style="241" bestFit="1" customWidth="1"/>
    <col min="13058" max="13058" width="38.5" style="241" customWidth="1"/>
    <col min="13059" max="13059" width="5.5" style="241" bestFit="1" customWidth="1"/>
    <col min="13060" max="13060" width="8.1640625" style="241" bestFit="1" customWidth="1"/>
    <col min="13061" max="13061" width="9" style="241" bestFit="1" customWidth="1"/>
    <col min="13062" max="13062" width="12.5" style="241" customWidth="1"/>
    <col min="13063" max="13312" width="8.83203125" style="241"/>
    <col min="13313" max="13313" width="3.5" style="241" bestFit="1" customWidth="1"/>
    <col min="13314" max="13314" width="38.5" style="241" customWidth="1"/>
    <col min="13315" max="13315" width="5.5" style="241" bestFit="1" customWidth="1"/>
    <col min="13316" max="13316" width="8.1640625" style="241" bestFit="1" customWidth="1"/>
    <col min="13317" max="13317" width="9" style="241" bestFit="1" customWidth="1"/>
    <col min="13318" max="13318" width="12.5" style="241" customWidth="1"/>
    <col min="13319" max="13568" width="8.83203125" style="241"/>
    <col min="13569" max="13569" width="3.5" style="241" bestFit="1" customWidth="1"/>
    <col min="13570" max="13570" width="38.5" style="241" customWidth="1"/>
    <col min="13571" max="13571" width="5.5" style="241" bestFit="1" customWidth="1"/>
    <col min="13572" max="13572" width="8.1640625" style="241" bestFit="1" customWidth="1"/>
    <col min="13573" max="13573" width="9" style="241" bestFit="1" customWidth="1"/>
    <col min="13574" max="13574" width="12.5" style="241" customWidth="1"/>
    <col min="13575" max="13824" width="8.83203125" style="241"/>
    <col min="13825" max="13825" width="3.5" style="241" bestFit="1" customWidth="1"/>
    <col min="13826" max="13826" width="38.5" style="241" customWidth="1"/>
    <col min="13827" max="13827" width="5.5" style="241" bestFit="1" customWidth="1"/>
    <col min="13828" max="13828" width="8.1640625" style="241" bestFit="1" customWidth="1"/>
    <col min="13829" max="13829" width="9" style="241" bestFit="1" customWidth="1"/>
    <col min="13830" max="13830" width="12.5" style="241" customWidth="1"/>
    <col min="13831" max="14080" width="8.83203125" style="241"/>
    <col min="14081" max="14081" width="3.5" style="241" bestFit="1" customWidth="1"/>
    <col min="14082" max="14082" width="38.5" style="241" customWidth="1"/>
    <col min="14083" max="14083" width="5.5" style="241" bestFit="1" customWidth="1"/>
    <col min="14084" max="14084" width="8.1640625" style="241" bestFit="1" customWidth="1"/>
    <col min="14085" max="14085" width="9" style="241" bestFit="1" customWidth="1"/>
    <col min="14086" max="14086" width="12.5" style="241" customWidth="1"/>
    <col min="14087" max="14336" width="8.83203125" style="241"/>
    <col min="14337" max="14337" width="3.5" style="241" bestFit="1" customWidth="1"/>
    <col min="14338" max="14338" width="38.5" style="241" customWidth="1"/>
    <col min="14339" max="14339" width="5.5" style="241" bestFit="1" customWidth="1"/>
    <col min="14340" max="14340" width="8.1640625" style="241" bestFit="1" customWidth="1"/>
    <col min="14341" max="14341" width="9" style="241" bestFit="1" customWidth="1"/>
    <col min="14342" max="14342" width="12.5" style="241" customWidth="1"/>
    <col min="14343" max="14592" width="8.83203125" style="241"/>
    <col min="14593" max="14593" width="3.5" style="241" bestFit="1" customWidth="1"/>
    <col min="14594" max="14594" width="38.5" style="241" customWidth="1"/>
    <col min="14595" max="14595" width="5.5" style="241" bestFit="1" customWidth="1"/>
    <col min="14596" max="14596" width="8.1640625" style="241" bestFit="1" customWidth="1"/>
    <col min="14597" max="14597" width="9" style="241" bestFit="1" customWidth="1"/>
    <col min="14598" max="14598" width="12.5" style="241" customWidth="1"/>
    <col min="14599" max="14848" width="8.83203125" style="241"/>
    <col min="14849" max="14849" width="3.5" style="241" bestFit="1" customWidth="1"/>
    <col min="14850" max="14850" width="38.5" style="241" customWidth="1"/>
    <col min="14851" max="14851" width="5.5" style="241" bestFit="1" customWidth="1"/>
    <col min="14852" max="14852" width="8.1640625" style="241" bestFit="1" customWidth="1"/>
    <col min="14853" max="14853" width="9" style="241" bestFit="1" customWidth="1"/>
    <col min="14854" max="14854" width="12.5" style="241" customWidth="1"/>
    <col min="14855" max="15104" width="8.83203125" style="241"/>
    <col min="15105" max="15105" width="3.5" style="241" bestFit="1" customWidth="1"/>
    <col min="15106" max="15106" width="38.5" style="241" customWidth="1"/>
    <col min="15107" max="15107" width="5.5" style="241" bestFit="1" customWidth="1"/>
    <col min="15108" max="15108" width="8.1640625" style="241" bestFit="1" customWidth="1"/>
    <col min="15109" max="15109" width="9" style="241" bestFit="1" customWidth="1"/>
    <col min="15110" max="15110" width="12.5" style="241" customWidth="1"/>
    <col min="15111" max="15360" width="8.83203125" style="241"/>
    <col min="15361" max="15361" width="3.5" style="241" bestFit="1" customWidth="1"/>
    <col min="15362" max="15362" width="38.5" style="241" customWidth="1"/>
    <col min="15363" max="15363" width="5.5" style="241" bestFit="1" customWidth="1"/>
    <col min="15364" max="15364" width="8.1640625" style="241" bestFit="1" customWidth="1"/>
    <col min="15365" max="15365" width="9" style="241" bestFit="1" customWidth="1"/>
    <col min="15366" max="15366" width="12.5" style="241" customWidth="1"/>
    <col min="15367" max="15616" width="8.83203125" style="241"/>
    <col min="15617" max="15617" width="3.5" style="241" bestFit="1" customWidth="1"/>
    <col min="15618" max="15618" width="38.5" style="241" customWidth="1"/>
    <col min="15619" max="15619" width="5.5" style="241" bestFit="1" customWidth="1"/>
    <col min="15620" max="15620" width="8.1640625" style="241" bestFit="1" customWidth="1"/>
    <col min="15621" max="15621" width="9" style="241" bestFit="1" customWidth="1"/>
    <col min="15622" max="15622" width="12.5" style="241" customWidth="1"/>
    <col min="15623" max="15872" width="8.83203125" style="241"/>
    <col min="15873" max="15873" width="3.5" style="241" bestFit="1" customWidth="1"/>
    <col min="15874" max="15874" width="38.5" style="241" customWidth="1"/>
    <col min="15875" max="15875" width="5.5" style="241" bestFit="1" customWidth="1"/>
    <col min="15876" max="15876" width="8.1640625" style="241" bestFit="1" customWidth="1"/>
    <col min="15877" max="15877" width="9" style="241" bestFit="1" customWidth="1"/>
    <col min="15878" max="15878" width="12.5" style="241" customWidth="1"/>
    <col min="15879" max="16128" width="8.83203125" style="241"/>
    <col min="16129" max="16129" width="3.5" style="241" bestFit="1" customWidth="1"/>
    <col min="16130" max="16130" width="38.5" style="241" customWidth="1"/>
    <col min="16131" max="16131" width="5.5" style="241" bestFit="1" customWidth="1"/>
    <col min="16132" max="16132" width="8.1640625" style="241" bestFit="1" customWidth="1"/>
    <col min="16133" max="16133" width="9" style="241" bestFit="1" customWidth="1"/>
    <col min="16134" max="16134" width="12.5" style="241" customWidth="1"/>
    <col min="16135" max="16384" width="8.83203125" style="241"/>
  </cols>
  <sheetData>
    <row r="1" spans="1:8">
      <c r="A1" s="236"/>
      <c r="B1" s="237"/>
      <c r="C1" s="236"/>
      <c r="D1" s="236"/>
      <c r="E1" s="238"/>
      <c r="F1" s="239" t="s">
        <v>1161</v>
      </c>
    </row>
    <row r="2" spans="1:8">
      <c r="A2" s="236"/>
      <c r="B2" s="237"/>
      <c r="C2" s="236"/>
      <c r="D2" s="236"/>
      <c r="E2" s="238"/>
      <c r="F2" s="239" t="s">
        <v>1272</v>
      </c>
    </row>
    <row r="3" spans="1:8">
      <c r="A3" s="236"/>
      <c r="B3" s="237"/>
      <c r="C3" s="236"/>
      <c r="D3" s="236"/>
      <c r="E3" s="238"/>
      <c r="F3" s="239" t="s">
        <v>1159</v>
      </c>
    </row>
    <row r="4" spans="1:8">
      <c r="A4" s="236"/>
      <c r="B4" s="237"/>
      <c r="C4" s="236"/>
      <c r="D4" s="236"/>
      <c r="E4" s="238"/>
      <c r="F4" s="239" t="s">
        <v>1319</v>
      </c>
    </row>
    <row r="5" spans="1:8">
      <c r="A5" s="238"/>
      <c r="B5" s="242" t="s">
        <v>1157</v>
      </c>
      <c r="C5" s="238"/>
      <c r="D5" s="238"/>
      <c r="E5" s="238"/>
      <c r="F5" s="243" t="s">
        <v>1156</v>
      </c>
    </row>
    <row r="6" spans="1:8" ht="16">
      <c r="A6" s="238"/>
      <c r="B6" s="244" t="s">
        <v>1335</v>
      </c>
      <c r="C6" s="238"/>
      <c r="D6" s="238"/>
      <c r="E6" s="238"/>
      <c r="F6" s="245"/>
    </row>
    <row r="7" spans="1:8">
      <c r="A7" s="238"/>
      <c r="B7" s="242"/>
      <c r="C7" s="238"/>
      <c r="D7" s="238"/>
      <c r="E7" s="238"/>
      <c r="F7" s="245"/>
    </row>
    <row r="8" spans="1:8" ht="34">
      <c r="A8" s="246" t="s">
        <v>1154</v>
      </c>
      <c r="B8" s="247" t="s">
        <v>1153</v>
      </c>
      <c r="C8" s="248" t="s">
        <v>1275</v>
      </c>
      <c r="D8" s="248" t="s">
        <v>1276</v>
      </c>
      <c r="E8" s="248" t="s">
        <v>1277</v>
      </c>
      <c r="F8" s="249" t="s">
        <v>1278</v>
      </c>
      <c r="G8" s="250" t="s">
        <v>1279</v>
      </c>
      <c r="H8" s="251"/>
    </row>
    <row r="9" spans="1:8">
      <c r="A9" s="359">
        <v>1</v>
      </c>
      <c r="B9" s="252" t="s">
        <v>1321</v>
      </c>
      <c r="C9" s="253" t="s">
        <v>1290</v>
      </c>
      <c r="D9" s="253">
        <v>0.33700000000000002</v>
      </c>
      <c r="E9" s="254">
        <v>60.66</v>
      </c>
      <c r="F9" s="255">
        <f>IF(ISERROR(SEARCH("химия",B9)),D9*E9,D9*E9*G9/1000)</f>
        <v>20.442419999999998</v>
      </c>
      <c r="G9" s="256" t="str">
        <f>IF(ISERROR(SEARCH("химия",B9)),IF(ISERROR(SEARCH("RAL",B9)),"","RAL"),5)</f>
        <v/>
      </c>
    </row>
    <row r="10" spans="1:8">
      <c r="A10" s="360"/>
      <c r="B10" s="252" t="s">
        <v>1322</v>
      </c>
      <c r="C10" s="253" t="s">
        <v>1290</v>
      </c>
      <c r="D10" s="253">
        <v>27.99</v>
      </c>
      <c r="E10" s="254">
        <v>61.48</v>
      </c>
      <c r="F10" s="255">
        <f t="shared" ref="F10:F20" si="0">IF(ISERROR(SEARCH("химия",B10)),D10*E10,D10*E10*G10/1000)</f>
        <v>1720.8251999999998</v>
      </c>
      <c r="G10" s="256" t="str">
        <f t="shared" ref="G10:G20" si="1">IF(ISERROR(SEARCH("химия",B10)),IF(ISERROR(SEARCH("RAL",B10)),"","RAL"),5)</f>
        <v/>
      </c>
    </row>
    <row r="11" spans="1:8">
      <c r="A11" s="360"/>
      <c r="B11" s="252" t="s">
        <v>1323</v>
      </c>
      <c r="C11" s="253" t="s">
        <v>1290</v>
      </c>
      <c r="D11" s="253">
        <v>1.423</v>
      </c>
      <c r="E11" s="254">
        <v>379.82</v>
      </c>
      <c r="F11" s="255">
        <f t="shared" si="0"/>
        <v>540.48386000000005</v>
      </c>
      <c r="G11" s="256">
        <v>350</v>
      </c>
    </row>
    <row r="12" spans="1:8">
      <c r="A12" s="360"/>
      <c r="B12" s="252" t="s">
        <v>1324</v>
      </c>
      <c r="C12" s="253" t="s">
        <v>1177</v>
      </c>
      <c r="D12" s="253">
        <v>3.6949999999999998</v>
      </c>
      <c r="E12" s="254">
        <v>0.52</v>
      </c>
      <c r="F12" s="255">
        <f>IF(ISERROR(SEARCH("химия",B12)),D12*E12,D12*E12*G12)</f>
        <v>9.6069999999999993</v>
      </c>
      <c r="G12" s="256">
        <f t="shared" si="1"/>
        <v>5</v>
      </c>
    </row>
    <row r="13" spans="1:8" ht="14.25" customHeight="1">
      <c r="A13" s="360"/>
      <c r="B13" s="252" t="s">
        <v>1325</v>
      </c>
      <c r="C13" s="253" t="s">
        <v>1284</v>
      </c>
      <c r="D13" s="253">
        <v>4</v>
      </c>
      <c r="E13" s="254">
        <v>1.22</v>
      </c>
      <c r="F13" s="255">
        <f t="shared" si="0"/>
        <v>4.88</v>
      </c>
      <c r="G13" s="256" t="str">
        <f t="shared" si="1"/>
        <v/>
      </c>
    </row>
    <row r="14" spans="1:8">
      <c r="A14" s="360"/>
      <c r="B14" s="252" t="s">
        <v>1326</v>
      </c>
      <c r="C14" s="253" t="s">
        <v>1284</v>
      </c>
      <c r="D14" s="253">
        <v>8</v>
      </c>
      <c r="E14" s="254">
        <v>0.55000000000000004</v>
      </c>
      <c r="F14" s="255">
        <f t="shared" si="0"/>
        <v>4.4000000000000004</v>
      </c>
      <c r="G14" s="256" t="str">
        <f t="shared" si="1"/>
        <v/>
      </c>
    </row>
    <row r="15" spans="1:8" ht="15.75" customHeight="1">
      <c r="A15" s="360"/>
      <c r="B15" s="257" t="s">
        <v>1327</v>
      </c>
      <c r="C15" s="253" t="s">
        <v>1284</v>
      </c>
      <c r="D15" s="253">
        <v>4</v>
      </c>
      <c r="E15" s="254">
        <v>2.02</v>
      </c>
      <c r="F15" s="255">
        <f t="shared" si="0"/>
        <v>8.08</v>
      </c>
      <c r="G15" s="256" t="str">
        <f t="shared" si="1"/>
        <v/>
      </c>
      <c r="H15" s="258"/>
    </row>
    <row r="16" spans="1:8" ht="15.75" customHeight="1">
      <c r="A16" s="360"/>
      <c r="B16" s="257" t="s">
        <v>1328</v>
      </c>
      <c r="C16" s="253" t="s">
        <v>1284</v>
      </c>
      <c r="D16" s="253">
        <v>2</v>
      </c>
      <c r="E16" s="254">
        <v>39</v>
      </c>
      <c r="F16" s="255">
        <f t="shared" si="0"/>
        <v>78</v>
      </c>
      <c r="G16" s="256" t="str">
        <f t="shared" si="1"/>
        <v/>
      </c>
      <c r="H16" s="258"/>
    </row>
    <row r="17" spans="1:8" ht="15.75" customHeight="1">
      <c r="A17" s="360"/>
      <c r="B17" s="257" t="s">
        <v>1329</v>
      </c>
      <c r="C17" s="253" t="s">
        <v>1284</v>
      </c>
      <c r="D17" s="253">
        <v>1</v>
      </c>
      <c r="E17" s="254">
        <v>52.68</v>
      </c>
      <c r="F17" s="255">
        <f t="shared" si="0"/>
        <v>52.68</v>
      </c>
      <c r="G17" s="256" t="str">
        <f t="shared" si="1"/>
        <v/>
      </c>
      <c r="H17" s="258"/>
    </row>
    <row r="18" spans="1:8" ht="15.75" customHeight="1">
      <c r="A18" s="360"/>
      <c r="B18" s="257" t="s">
        <v>1197</v>
      </c>
      <c r="C18" s="253" t="s">
        <v>1284</v>
      </c>
      <c r="D18" s="253">
        <v>2</v>
      </c>
      <c r="E18" s="254">
        <v>454.1</v>
      </c>
      <c r="F18" s="255">
        <f t="shared" si="0"/>
        <v>908.2</v>
      </c>
      <c r="G18" s="256" t="str">
        <f t="shared" si="1"/>
        <v/>
      </c>
      <c r="H18" s="258"/>
    </row>
    <row r="19" spans="1:8" ht="15.75" customHeight="1">
      <c r="A19" s="360"/>
      <c r="B19" s="257" t="s">
        <v>1186</v>
      </c>
      <c r="C19" s="253" t="s">
        <v>1284</v>
      </c>
      <c r="D19" s="253">
        <v>1</v>
      </c>
      <c r="E19" s="254">
        <v>6</v>
      </c>
      <c r="F19" s="255">
        <f t="shared" si="0"/>
        <v>6</v>
      </c>
      <c r="G19" s="256" t="str">
        <f t="shared" si="1"/>
        <v/>
      </c>
      <c r="H19" s="258"/>
    </row>
    <row r="20" spans="1:8" ht="15.75" customHeight="1">
      <c r="A20" s="360"/>
      <c r="B20" s="257" t="s">
        <v>1332</v>
      </c>
      <c r="C20" s="253" t="s">
        <v>1284</v>
      </c>
      <c r="D20" s="253">
        <v>4</v>
      </c>
      <c r="E20" s="254">
        <v>0.25</v>
      </c>
      <c r="F20" s="255">
        <f t="shared" si="0"/>
        <v>1</v>
      </c>
      <c r="G20" s="256" t="str">
        <f t="shared" si="1"/>
        <v/>
      </c>
      <c r="H20" s="258"/>
    </row>
    <row r="21" spans="1:8">
      <c r="A21" s="360"/>
      <c r="B21" s="259" t="s">
        <v>1118</v>
      </c>
      <c r="C21" s="260"/>
      <c r="D21" s="261"/>
      <c r="E21" s="262"/>
      <c r="F21" s="263">
        <f>SUM(F9:F20)</f>
        <v>3354.5984799999997</v>
      </c>
    </row>
    <row r="22" spans="1:8">
      <c r="A22" s="360"/>
      <c r="B22" s="264" t="s">
        <v>1285</v>
      </c>
      <c r="C22" s="265"/>
      <c r="D22" s="253"/>
      <c r="E22" s="266">
        <v>0.01</v>
      </c>
      <c r="F22" s="255">
        <f>F21*E22</f>
        <v>33.545984799999999</v>
      </c>
    </row>
    <row r="23" spans="1:8">
      <c r="A23" s="361"/>
      <c r="B23" s="259" t="s">
        <v>1286</v>
      </c>
      <c r="C23" s="265"/>
      <c r="D23" s="253"/>
      <c r="E23" s="253"/>
      <c r="F23" s="263">
        <f>SUM(F21:F22)</f>
        <v>3388.1444647999997</v>
      </c>
    </row>
    <row r="24" spans="1:8">
      <c r="A24" s="246">
        <v>2</v>
      </c>
      <c r="B24" s="259" t="s">
        <v>1114</v>
      </c>
      <c r="C24" s="265"/>
      <c r="D24" s="253"/>
      <c r="E24" s="266">
        <v>0.14000000000000001</v>
      </c>
      <c r="F24" s="255">
        <f>F23*E24</f>
        <v>474.34022507200001</v>
      </c>
    </row>
    <row r="25" spans="1:8">
      <c r="A25" s="246"/>
      <c r="B25" s="264" t="s">
        <v>1113</v>
      </c>
      <c r="C25" s="265"/>
      <c r="D25" s="253"/>
      <c r="E25" s="266">
        <v>0.14000000000000001</v>
      </c>
      <c r="F25" s="255">
        <f>F24*E25</f>
        <v>66.407631510080009</v>
      </c>
    </row>
    <row r="26" spans="1:8">
      <c r="A26" s="246"/>
      <c r="B26" s="264" t="s">
        <v>1287</v>
      </c>
      <c r="C26" s="265"/>
      <c r="D26" s="253"/>
      <c r="E26" s="266"/>
      <c r="F26" s="255">
        <f>(F24+F25)*31.3%</f>
        <v>169.25407911019104</v>
      </c>
    </row>
    <row r="27" spans="1:8">
      <c r="A27" s="246">
        <v>3</v>
      </c>
      <c r="B27" s="259" t="s">
        <v>1109</v>
      </c>
      <c r="C27" s="265"/>
      <c r="D27" s="253"/>
      <c r="E27" s="266">
        <v>1.5</v>
      </c>
      <c r="F27" s="255">
        <f>F24*E27</f>
        <v>711.51033760799999</v>
      </c>
    </row>
    <row r="28" spans="1:8">
      <c r="A28" s="246">
        <v>4</v>
      </c>
      <c r="B28" s="259" t="s">
        <v>1107</v>
      </c>
      <c r="C28" s="265"/>
      <c r="D28" s="253"/>
      <c r="E28" s="267"/>
      <c r="F28" s="249">
        <f>F23+F24+F25+F26+F27</f>
        <v>4809.6567381002706</v>
      </c>
    </row>
    <row r="29" spans="1:8">
      <c r="A29" s="246">
        <v>5</v>
      </c>
      <c r="B29" s="259" t="s">
        <v>1105</v>
      </c>
      <c r="C29" s="265"/>
      <c r="D29" s="253"/>
      <c r="E29" s="268">
        <v>1</v>
      </c>
      <c r="F29" s="269">
        <f>F24*E29</f>
        <v>474.34022507200001</v>
      </c>
    </row>
    <row r="30" spans="1:8">
      <c r="A30" s="246"/>
      <c r="B30" s="259"/>
      <c r="C30" s="265"/>
      <c r="D30" s="253"/>
      <c r="E30" s="268">
        <v>0.8</v>
      </c>
      <c r="F30" s="269">
        <f>F24*E30</f>
        <v>379.47218005760004</v>
      </c>
    </row>
    <row r="31" spans="1:8">
      <c r="A31" s="246">
        <v>6</v>
      </c>
      <c r="B31" s="259" t="s">
        <v>1288</v>
      </c>
      <c r="C31" s="265"/>
      <c r="D31" s="253"/>
      <c r="E31" s="253"/>
      <c r="F31" s="269">
        <f>F28+F29</f>
        <v>5283.9969631722706</v>
      </c>
    </row>
    <row r="32" spans="1:8">
      <c r="A32" s="246"/>
      <c r="B32" s="259"/>
      <c r="C32" s="265"/>
      <c r="D32" s="253"/>
      <c r="E32" s="253"/>
      <c r="F32" s="269">
        <f>F28+F30</f>
        <v>5189.1289181578704</v>
      </c>
    </row>
    <row r="33" spans="1:8">
      <c r="A33" s="246">
        <v>7</v>
      </c>
      <c r="B33" s="259" t="s">
        <v>83</v>
      </c>
      <c r="C33" s="265"/>
      <c r="D33" s="253"/>
      <c r="E33" s="266">
        <v>0.4</v>
      </c>
      <c r="F33" s="269">
        <f>F31*E33</f>
        <v>2113.5987852689082</v>
      </c>
    </row>
    <row r="34" spans="1:8">
      <c r="A34" s="246"/>
      <c r="B34" s="259"/>
      <c r="C34" s="265"/>
      <c r="D34" s="253"/>
      <c r="E34" s="266">
        <v>7.0000000000000007E-2</v>
      </c>
      <c r="F34" s="269">
        <f>F32*E34</f>
        <v>363.23902427105094</v>
      </c>
    </row>
    <row r="35" spans="1:8">
      <c r="A35" s="246">
        <v>8</v>
      </c>
      <c r="B35" s="270" t="s">
        <v>1100</v>
      </c>
      <c r="C35" s="265"/>
      <c r="D35" s="253"/>
      <c r="E35" s="266"/>
      <c r="F35" s="269">
        <v>137</v>
      </c>
      <c r="H35" s="241" t="s">
        <v>1333</v>
      </c>
    </row>
    <row r="36" spans="1:8">
      <c r="A36" s="246">
        <v>9</v>
      </c>
      <c r="B36" s="270" t="s">
        <v>1099</v>
      </c>
      <c r="C36" s="265"/>
      <c r="D36" s="253"/>
      <c r="E36" s="267"/>
      <c r="F36" s="269">
        <f>F31+F33+F35</f>
        <v>7534.5957484411792</v>
      </c>
    </row>
    <row r="37" spans="1:8">
      <c r="A37" s="246"/>
      <c r="B37" s="270"/>
      <c r="C37" s="265"/>
      <c r="D37" s="253"/>
      <c r="E37" s="267"/>
      <c r="F37" s="269">
        <f>F32+F34+F35</f>
        <v>5689.3679424289212</v>
      </c>
    </row>
    <row r="38" spans="1:8">
      <c r="A38" s="246">
        <v>10</v>
      </c>
      <c r="B38" s="270" t="s">
        <v>1098</v>
      </c>
      <c r="C38" s="265"/>
      <c r="D38" s="253"/>
      <c r="E38" s="268">
        <v>0.22</v>
      </c>
      <c r="F38" s="269">
        <f>F36*E38</f>
        <v>1657.6110646570594</v>
      </c>
    </row>
    <row r="39" spans="1:8">
      <c r="A39" s="246"/>
      <c r="B39" s="270"/>
      <c r="C39" s="265"/>
      <c r="D39" s="253"/>
      <c r="E39" s="268">
        <v>0.22</v>
      </c>
      <c r="F39" s="269">
        <f>F37*E39</f>
        <v>1251.6609473343626</v>
      </c>
    </row>
    <row r="40" spans="1:8">
      <c r="A40" s="246">
        <v>11</v>
      </c>
      <c r="B40" s="271" t="s">
        <v>1291</v>
      </c>
      <c r="C40" s="265"/>
      <c r="D40" s="265"/>
      <c r="E40" s="265" t="s">
        <v>1096</v>
      </c>
      <c r="F40" s="263">
        <f>F36+F38</f>
        <v>9192.2068130982389</v>
      </c>
    </row>
    <row r="41" spans="1:8">
      <c r="A41" s="272"/>
      <c r="B41" s="273"/>
      <c r="C41" s="272"/>
      <c r="D41" s="272"/>
      <c r="E41" s="272" t="s">
        <v>1095</v>
      </c>
      <c r="F41" s="274">
        <f>F37+F39</f>
        <v>6941.0288897632836</v>
      </c>
    </row>
    <row r="42" spans="1:8">
      <c r="A42" s="236"/>
      <c r="B42" s="237"/>
      <c r="C42" s="236"/>
      <c r="D42" s="236"/>
      <c r="E42" s="236"/>
      <c r="F42" s="275"/>
    </row>
    <row r="43" spans="1:8">
      <c r="A43" s="236"/>
      <c r="B43" s="237"/>
      <c r="C43" s="236"/>
      <c r="D43" s="236"/>
      <c r="E43" s="236"/>
      <c r="F43" s="275"/>
    </row>
    <row r="44" spans="1:8">
      <c r="A44" s="236"/>
      <c r="B44" s="237"/>
      <c r="C44" s="236"/>
      <c r="D44" s="236"/>
      <c r="E44" s="236"/>
      <c r="F44" s="275"/>
    </row>
    <row r="45" spans="1:8">
      <c r="A45" s="236"/>
      <c r="B45" s="276" t="s">
        <v>1292</v>
      </c>
      <c r="C45" s="236"/>
      <c r="D45" s="236"/>
      <c r="E45" s="236"/>
      <c r="F45" s="275"/>
    </row>
    <row r="46" spans="1:8">
      <c r="A46" s="236"/>
      <c r="B46" s="237"/>
      <c r="C46" s="236"/>
      <c r="D46" s="236"/>
      <c r="E46" s="236"/>
      <c r="F46" s="275"/>
    </row>
  </sheetData>
  <mergeCells count="1">
    <mergeCell ref="A9:A23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64</vt:i4>
      </vt:variant>
    </vt:vector>
  </HeadingPairs>
  <TitlesOfParts>
    <vt:vector size="64" baseType="lpstr">
      <vt:lpstr>Тарифы</vt:lpstr>
      <vt:lpstr>Калькуляция</vt:lpstr>
      <vt:lpstr>Лист1</vt:lpstr>
      <vt:lpstr>Общая комиссия</vt:lpstr>
      <vt:lpstr>Общая комиссия (2)</vt:lpstr>
      <vt:lpstr>Тарифы логистика 3-4л</vt:lpstr>
      <vt:lpstr>Тарифы логистика 13-14л </vt:lpstr>
      <vt:lpstr>Тарифы логистика 14-15л</vt:lpstr>
      <vt:lpstr>Тарифы логистика 20-25л</vt:lpstr>
      <vt:lpstr>Тарифы логистика 30-35л</vt:lpstr>
      <vt:lpstr>Тарифы логистика 35-40л</vt:lpstr>
      <vt:lpstr>Тарифы логистика 40-45л</vt:lpstr>
      <vt:lpstr>Тарифы логистика 50-60л</vt:lpstr>
      <vt:lpstr>Тарифы логистика 60-70л</vt:lpstr>
      <vt:lpstr>Тарифы логистика 70-80л</vt:lpstr>
      <vt:lpstr>Тарифы логистика 80-90л</vt:lpstr>
      <vt:lpstr>Тарифы логистика 200-400л</vt:lpstr>
      <vt:lpstr>Общая комиссия акции</vt:lpstr>
      <vt:lpstr>Логистика</vt:lpstr>
      <vt:lpstr>Коэффиценты</vt:lpstr>
      <vt:lpstr>Вознаграждение МП</vt:lpstr>
      <vt:lpstr>Прайс СТЕЛЛАЖИ</vt:lpstr>
      <vt:lpstr>Прайс ЯП</vt:lpstr>
      <vt:lpstr>Прайс КЛЮЧНИЦЫ</vt:lpstr>
      <vt:lpstr>Прайс СЕЙФЫ ШБС</vt:lpstr>
      <vt:lpstr>Прайс АПТЕЧКА</vt:lpstr>
      <vt:lpstr>Прайс СЕЙФЫ СМ</vt:lpstr>
      <vt:lpstr>ВС-С.1400х22</vt:lpstr>
      <vt:lpstr>ВС-ПС.1400.0 Полка-стенка</vt:lpstr>
      <vt:lpstr>ВС-О Опора</vt:lpstr>
      <vt:lpstr>ВС-ПС.1200.0 Полка-стенка</vt:lpstr>
      <vt:lpstr>ВС-С.1200х22</vt:lpstr>
      <vt:lpstr>40(4) NEW</vt:lpstr>
      <vt:lpstr>10.3 100 кг</vt:lpstr>
      <vt:lpstr>10.6 100кг</vt:lpstr>
      <vt:lpstr>40(6) NEW</vt:lpstr>
      <vt:lpstr>50(4) NEW</vt:lpstr>
      <vt:lpstr>СПЭ(4)</vt:lpstr>
      <vt:lpstr>СПЭ(5)</vt:lpstr>
      <vt:lpstr>СМ-50Э</vt:lpstr>
      <vt:lpstr>СМ-50</vt:lpstr>
      <vt:lpstr>СМ-30Э</vt:lpstr>
      <vt:lpstr>СМ-30</vt:lpstr>
      <vt:lpstr>СМ-25Э</vt:lpstr>
      <vt:lpstr>СМ-25</vt:lpstr>
      <vt:lpstr>СМ-23Э</vt:lpstr>
      <vt:lpstr>СМ-23</vt:lpstr>
      <vt:lpstr>СМ-20</vt:lpstr>
      <vt:lpstr>СМ-20Э</vt:lpstr>
      <vt:lpstr>ШБС-01 мини</vt:lpstr>
      <vt:lpstr>ШБС-01 мини Т</vt:lpstr>
      <vt:lpstr>АМУ-1</vt:lpstr>
      <vt:lpstr>ЯП-04 NEW</vt:lpstr>
      <vt:lpstr>ЯП-05 NEW</vt:lpstr>
      <vt:lpstr>ЯП-06 NEW</vt:lpstr>
      <vt:lpstr>ЯП-08 NEW</vt:lpstr>
      <vt:lpstr>К-20</vt:lpstr>
      <vt:lpstr>К-40</vt:lpstr>
      <vt:lpstr>К-60</vt:lpstr>
      <vt:lpstr>К-148</vt:lpstr>
      <vt:lpstr>расход ШО1</vt:lpstr>
      <vt:lpstr>расход ШО2</vt:lpstr>
      <vt:lpstr>расход ШО3</vt:lpstr>
      <vt:lpstr>расход ШО4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Владимир Иванов</dc:creator>
  <cp:lastModifiedBy>Vladimir</cp:lastModifiedBy>
  <dcterms:created xsi:type="dcterms:W3CDTF">2026-02-03T07:44:23Z</dcterms:created>
  <dcterms:modified xsi:type="dcterms:W3CDTF">2026-05-07T21:14:19Z</dcterms:modified>
</cp:coreProperties>
</file>